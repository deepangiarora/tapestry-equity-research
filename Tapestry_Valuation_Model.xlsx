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Inputs" sheetId="3" state="visible" r:id="rId5"/>
    <sheet name="Base" sheetId="4" state="visible" r:id="rId6"/>
    <sheet name="Bull" sheetId="5" state="visible" r:id="rId7"/>
    <sheet name="Bear" sheetId="6" state="visible" r:id="rId8"/>
    <sheet name="Priced In" sheetId="7" state="visible" r:id="rId9"/>
    <sheet name="WACC" sheetId="8" state="visible" r:id="rId10"/>
    <sheet name="Comps" sheetId="9" state="visible" r:id="rId11"/>
    <sheet name="Sensitivity" sheetId="10" state="visible" r:id="rId12"/>
    <sheet name="Historicals" sheetId="11" state="visible" r:id="rId13"/>
    <sheet name="Market Data" sheetId="12" state="visible" r:id="rId14"/>
  </sheets>
  <calcPr iterateCount="100" refMode="A1" iterate="false" iterateDelta="0.0001"/>
</workbook>
</file>

<file path=xl/sharedStrings.xml><?xml version="1.0" encoding="utf-8"?>
<sst xmlns="http://schemas.openxmlformats.org/spreadsheetml/2006/main" count="1668" uniqueCount="496">
  <si>
    <t xml:space="preserve">How to Use This Model</t>
  </si>
  <si>
    <t xml:space="preserve">Update the Inputs sheet only. Every other worksheet is formula-driven and updates automatically.</t>
  </si>
  <si>
    <t xml:space="preserve">Worksheet</t>
  </si>
  <si>
    <t xml:space="preserve">Instructions</t>
  </si>
  <si>
    <t xml:space="preserve">Inputs</t>
  </si>
  <si>
    <t xml:space="preserve">This is the only worksheet you edit: growth and margins for each case, shared operating assumptions and valuation inputs.</t>
  </si>
  <si>
    <t xml:space="preserve">Summary</t>
  </si>
  <si>
    <t xml:space="preserve">Rating, price target, a side-by-side comparison of the four cases, the valuation range and model checks. Use the dropdown to look at one case.</t>
  </si>
  <si>
    <t xml:space="preserve">Base / Bull / Bear / Priced In</t>
  </si>
  <si>
    <t xml:space="preserve">No manual data entry needed. Full income statement, balance sheet, cash flow and DCF for each case.</t>
  </si>
  <si>
    <t xml:space="preserve">WACC</t>
  </si>
  <si>
    <t xml:space="preserve">No manual data entry needed. Cost of debt from Tapestry's own bonds, cost of equity from CAPM.</t>
  </si>
  <si>
    <t xml:space="preserve">Comps</t>
  </si>
  <si>
    <t xml:space="preserve">Trading multiples for nine peers and what they imply for Tapestry.</t>
  </si>
  <si>
    <t xml:space="preserve">Sensitivity</t>
  </si>
  <si>
    <t xml:space="preserve">No manual data entry needed. Base case value across WACC and terminal growth.</t>
  </si>
  <si>
    <t xml:space="preserve">Historicals</t>
  </si>
  <si>
    <t xml:space="preserve">Reported financials from the FY2026 10-K and earnings release, with sources.</t>
  </si>
  <si>
    <t xml:space="preserve">Market Data</t>
  </si>
  <si>
    <t xml:space="preserve">Share price, guidance, rates and analyst targets, with sources.</t>
  </si>
  <si>
    <t xml:space="preserve">What I built</t>
  </si>
  <si>
    <t xml:space="preserve">The company</t>
  </si>
  <si>
    <t xml:space="preserve">Tapestry (Coach, Kate Spade). FY2026 sales of $8.0B, with Coach up 24%. The stock is down about 30% from its August high.</t>
  </si>
  <si>
    <t xml:space="preserve">Three statements</t>
  </si>
  <si>
    <t xml:space="preserve">Five years of projections by brand, with a balance sheet that balances and a cash flow statement that drives cash, buybacks and share count.</t>
  </si>
  <si>
    <t xml:space="preserve">Valuation</t>
  </si>
  <si>
    <t xml:space="preserve">A DCF with a stub period from today to the end of FY2027, a peer comparison and a WACC built from Tapestry's own bond prices.</t>
  </si>
  <si>
    <t xml:space="preserve">The question</t>
  </si>
  <si>
    <t xml:space="preserve">The Priced In case asks what Coach has to keep doing for today's price to make sense.</t>
  </si>
  <si>
    <t xml:space="preserve">Limitations</t>
  </si>
  <si>
    <t xml:space="preserve">Adjusted numbers</t>
  </si>
  <si>
    <t xml:space="preserve">Projections are on Tapestry's adjusted (non-GAAP) basis and assume no more one-time charges or tariff refunds.</t>
  </si>
  <si>
    <t xml:space="preserve">Leases</t>
  </si>
  <si>
    <t xml:space="preserve">Rent stays in operating costs, so lease liabilities are left out of the DCF on purpose. The comps use EV with leases, to match the data source.</t>
  </si>
  <si>
    <t xml:space="preserve">Data</t>
  </si>
  <si>
    <t xml:space="preserve">Peer multiples come from one data source on slightly different dates. The Priced In growth rate was solved outside the sheet.</t>
  </si>
  <si>
    <t xml:space="preserve">Tapestry, Inc. (NYSE: TPR): Valuation Summary</t>
  </si>
  <si>
    <t xml:space="preserve">Equity research model by Deepangi Arora. Priced as of October 8, 2026. $ in millions except per share.</t>
  </si>
  <si>
    <t xml:space="preserve">Recommendation</t>
  </si>
  <si>
    <t xml:space="preserve">Item</t>
  </si>
  <si>
    <t xml:space="preserve">Value</t>
  </si>
  <si>
    <t xml:space="preserve">Share price (Oct 8, 2026)</t>
  </si>
  <si>
    <t xml:space="preserve">Base case DCF value today</t>
  </si>
  <si>
    <t xml:space="preserve">12-month price target</t>
  </si>
  <si>
    <t xml:space="preserve">Upside / (downside) to target</t>
  </si>
  <si>
    <t xml:space="preserve">Rating</t>
  </si>
  <si>
    <t xml:space="preserve">Target = today's DCF value grown at the cost of equity for a year, less the dividend. BUY above +15%, SELL below -15%.</t>
  </si>
  <si>
    <t xml:space="preserve">Quick Case View</t>
  </si>
  <si>
    <t xml:space="preserve">Choose a case from the dropdown below.</t>
  </si>
  <si>
    <t xml:space="preserve">Case</t>
  </si>
  <si>
    <t xml:space="preserve">Base</t>
  </si>
  <si>
    <t xml:space="preserve">Value per share</t>
  </si>
  <si>
    <t xml:space="preserve">Upside / (downside) vs price</t>
  </si>
  <si>
    <t xml:space="preserve">FY2027 EPS</t>
  </si>
  <si>
    <t xml:space="preserve">FY2028 EPS</t>
  </si>
  <si>
    <t xml:space="preserve">Coach sales growth, FY2026 to FY2031 (per year)</t>
  </si>
  <si>
    <t xml:space="preserve">FY2031 operating margin</t>
  </si>
  <si>
    <t xml:space="preserve">Case Comparison</t>
  </si>
  <si>
    <t xml:space="preserve">Metric</t>
  </si>
  <si>
    <t xml:space="preserve">Bull</t>
  </si>
  <si>
    <t xml:space="preserve">Bear</t>
  </si>
  <si>
    <t xml:space="preserve">Priced In</t>
  </si>
  <si>
    <t xml:space="preserve">FY2031 net sales</t>
  </si>
  <si>
    <t xml:space="preserve">FY2031 unlevered free cash flow</t>
  </si>
  <si>
    <t xml:space="preserve">Terminal value as % of EV</t>
  </si>
  <si>
    <t xml:space="preserve">Valuation Range (Football Field)</t>
  </si>
  <si>
    <t xml:space="preserve">Method</t>
  </si>
  <si>
    <t xml:space="preserve">Low</t>
  </si>
  <si>
    <t xml:space="preserve">High</t>
  </si>
  <si>
    <t xml:space="preserve">Note</t>
  </si>
  <si>
    <t xml:space="preserve">52-week trading range</t>
  </si>
  <si>
    <t xml:space="preserve">Market Data.</t>
  </si>
  <si>
    <t xml:space="preserve">Analyst price targets</t>
  </si>
  <si>
    <t xml:space="preserve">Lowest and highest Street targets (MarketBeat).</t>
  </si>
  <si>
    <t xml:space="preserve">DCF: Bear to Bull case</t>
  </si>
  <si>
    <t xml:space="preserve">Case sheets.</t>
  </si>
  <si>
    <t xml:space="preserve">DCF: Base case, WACC +/- 1 point</t>
  </si>
  <si>
    <t xml:space="preserve">Sensitivity sheet.</t>
  </si>
  <si>
    <t xml:space="preserve">Peers: forward P/E (25th to 75th percentile)</t>
  </si>
  <si>
    <t xml:space="preserve">Comps sheet.</t>
  </si>
  <si>
    <t xml:space="preserve">Peers: EV/EBIT (25th to 75th percentile)</t>
  </si>
  <si>
    <t xml:space="preserve">Today's price</t>
  </si>
  <si>
    <t xml:space="preserve">Model Checks</t>
  </si>
  <si>
    <t xml:space="preserve">Check</t>
  </si>
  <si>
    <t xml:space="preserve">Model</t>
  </si>
  <si>
    <t xml:space="preserve">Guidance low</t>
  </si>
  <si>
    <t xml:space="preserve">Guidance high</t>
  </si>
  <si>
    <t xml:space="preserve">Result</t>
  </si>
  <si>
    <t xml:space="preserve">Base FY2027 net sales vs guidance</t>
  </si>
  <si>
    <t xml:space="preserve">Base FY2027 EPS vs guidance</t>
  </si>
  <si>
    <t xml:space="preserve">Base FY2027 free cash flow vs 'approaching $1.7B'</t>
  </si>
  <si>
    <t xml:space="preserve">Balance sheets balance in every case</t>
  </si>
  <si>
    <t xml:space="preserve">Sensitivity table center = Base value</t>
  </si>
  <si>
    <t xml:space="preserve">Priced In case value vs today's price</t>
  </si>
  <si>
    <t xml:space="preserve">Inputs &amp; Assumptions</t>
  </si>
  <si>
    <t xml:space="preserve">This is the only sheet that should be updated manually. Every other worksheet is formula-driven.</t>
  </si>
  <si>
    <t xml:space="preserve">Case Assumptions</t>
  </si>
  <si>
    <t xml:space="preserve">Each case runs on its own sheet. FY2026 base year is pro forma (excludes Stuart Weitzman).</t>
  </si>
  <si>
    <t xml:space="preserve">Coach revenue growth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</si>
  <si>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</si>
  <si>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</si>
  <si>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</si>
  <si>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</si>
  <si>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</si>
  <si>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Units</t>
  </si>
  <si>
    <t xml:space="preserve">Source / note</t>
  </si>
  <si>
    <t xml:space="preserve">%</t>
  </si>
  <si>
    <t xml:space="preserve">FY2027 = what guidance implies for Coach once Kate Spade falls 8%. Then a slow fade toward 4%.</t>
  </si>
  <si>
    <t xml:space="preserve">Coach keeps winning new customers and pricing power holds.</t>
  </si>
  <si>
    <t xml:space="preserve">The handbag cycle turns, the way Michael Kors did after 2015.</t>
  </si>
  <si>
    <t xml:space="preserve">The constant Coach growth that makes the Base case DCF equal today's price (solved separately, rounded).</t>
  </si>
  <si>
    <t xml:space="preserve">Kate Spade revenue growth</t>
  </si>
  <si>
    <t xml:space="preserve">Guidance: high single digit decline in FY2027, then the store closures finish.</t>
  </si>
  <si>
    <t xml:space="preserve">Same as Base.</t>
  </si>
  <si>
    <t xml:space="preserve">Adjusted gross margin</t>
  </si>
  <si>
    <t xml:space="preserve">FY2026 was 76.6%. Coach is a bigger share of sales, and Coach has the higher margin.</t>
  </si>
  <si>
    <t xml:space="preserve">Discounting comes back if demand slows.</t>
  </si>
  <si>
    <t xml:space="preserve">Adjusted operating margin</t>
  </si>
  <si>
    <t xml:space="preserve">FY2027 = 23.35% + ~50 bps of guided expansion, then small gains from mix.</t>
  </si>
  <si>
    <t xml:space="preserve">Deleverage on fixed store and marketing costs.</t>
  </si>
  <si>
    <t xml:space="preserve">Shared Operating Assumptions</t>
  </si>
  <si>
    <t xml:space="preserve">Assumption</t>
  </si>
  <si>
    <t xml:space="preserve">Tax rate on adjusted profit</t>
  </si>
  <si>
    <t xml:space="preserve">FY2026 adjusted tax rate: $330.0M / $1,812.0M.</t>
  </si>
  <si>
    <t xml:space="preserve">D&amp;A incl. cloud computing amortization</t>
  </si>
  <si>
    <t xml:space="preserve">% of sales</t>
  </si>
  <si>
    <t xml:space="preserve">FY2026: ($160.8M + $56.4M) / $7,989.6M.</t>
  </si>
  <si>
    <t xml:space="preserve">FY2027 capex and cloud computing</t>
  </si>
  <si>
    <t xml:space="preserve">$M</t>
  </si>
  <si>
    <t xml:space="preserve">FY2027 guidance.</t>
  </si>
  <si>
    <t xml:space="preserve">Capex and cloud computing after FY2027</t>
  </si>
  <si>
    <t xml:space="preserve">My assumption: guidance level as a share of sales (~3.6%), easing as the store refresh slows.</t>
  </si>
  <si>
    <t xml:space="preserve">Receivable days</t>
  </si>
  <si>
    <t xml:space="preserve">days</t>
  </si>
  <si>
    <t xml:space="preserve">FY2026 actual.</t>
  </si>
  <si>
    <t xml:space="preserve">Inventory days</t>
  </si>
  <si>
    <t xml:space="preserve">FY2026 actual, on adjusted cost of sales.</t>
  </si>
  <si>
    <t xml:space="preserve">Payable days</t>
  </si>
  <si>
    <t xml:space="preserve">Accrued liabilities</t>
  </si>
  <si>
    <t xml:space="preserve">Stock-based compensation</t>
  </si>
  <si>
    <t xml:space="preserve">FY2026 actual. Treated as a real cost in the DCF (not added back).</t>
  </si>
  <si>
    <t xml:space="preserve">FY2027 dividend per share</t>
  </si>
  <si>
    <t xml:space="preserve">$</t>
  </si>
  <si>
    <t xml:space="preserve">FY2027 guidance ($0.4625 a quarter).</t>
  </si>
  <si>
    <t xml:space="preserve">Dividend growth after FY2027</t>
  </si>
  <si>
    <t xml:space="preserve">My assumption, in line with earnings growth.</t>
  </si>
  <si>
    <t xml:space="preserve">FY2027 share repurchases</t>
  </si>
  <si>
    <t xml:space="preserve">Repurchases after FY2027</t>
  </si>
  <si>
    <t xml:space="preserve">Free cash flow less dividends</t>
  </si>
  <si>
    <t xml:space="preserve">My assumption: Tapestry keeps returning about all of its free cash flow, as it did in FY2026.</t>
  </si>
  <si>
    <t xml:space="preserve">Share price growth used to size buybacks</t>
  </si>
  <si>
    <t xml:space="preserve">% / yr</t>
  </si>
  <si>
    <t xml:space="preserve">My assumption. Only affects share count and EPS, not the DCF.</t>
  </si>
  <si>
    <t xml:space="preserve">New shares issued to employees</t>
  </si>
  <si>
    <t xml:space="preserve">FY2026: shares fell 7.7M while ~11.5M were repurchased, so ~1.9% were issued. I use 1.5%.</t>
  </si>
  <si>
    <t xml:space="preserve">Interest earned on cash</t>
  </si>
  <si>
    <t xml:space="preserve">My assumption, just under the 1-year Treasury (4.42%).</t>
  </si>
  <si>
    <t xml:space="preserve">Terminal growth rate</t>
  </si>
  <si>
    <t xml:space="preserve">My assumption: inflation plus a little real growth.</t>
  </si>
  <si>
    <t xml:space="preserve">Valuation Inputs</t>
  </si>
  <si>
    <t xml:space="preserve">Input</t>
  </si>
  <si>
    <t xml:space="preserve">Share price</t>
  </si>
  <si>
    <t xml:space="preserve">Close Oct 8, 2026 (Market Data).</t>
  </si>
  <si>
    <t xml:space="preserve">Valuation date</t>
  </si>
  <si>
    <t xml:space="preserve">End of FY2027</t>
  </si>
  <si>
    <t xml:space="preserve">FY2027 has 53 weeks, so it ends Saturday, July 3, 2027.</t>
  </si>
  <si>
    <t xml:space="preserve">Basic shares outstanding</t>
  </si>
  <si>
    <t xml:space="preserve">M</t>
  </si>
  <si>
    <t xml:space="preserve">July 31, 2026 (10-K cover).</t>
  </si>
  <si>
    <t xml:space="preserve">Dilutive securities</t>
  </si>
  <si>
    <t xml:space="preserve">FY2026 diluted EPS calculation.</t>
  </si>
  <si>
    <t xml:space="preserve">Risk-free rate (10-year Treasury)</t>
  </si>
  <si>
    <t xml:space="preserve">Oct 7, 2026.</t>
  </si>
  <si>
    <t xml:space="preserve">Beta</t>
  </si>
  <si>
    <t xml:space="preserve">x</t>
  </si>
  <si>
    <t xml:space="preserve">5-year beta. Lower betas are tested on the Sensitivity sheet through WACC.</t>
  </si>
  <si>
    <t xml:space="preserve">Equity risk premium</t>
  </si>
  <si>
    <t xml:space="preserve">Damodaran, January 2026.</t>
  </si>
  <si>
    <t xml:space="preserve">Marginal tax rate for debt</t>
  </si>
  <si>
    <t xml:space="preserve">U.S. federal rate.</t>
  </si>
  <si>
    <t xml:space="preserve">Tapestry Model: Base Case</t>
  </si>
  <si>
    <t xml:space="preserve">Income statement, balance sheet, cash flow and DCF. $ in millions except per share. No manual data entry needed.</t>
  </si>
  <si>
    <t xml:space="preserve">Income Statement (Adjusted)</t>
  </si>
  <si>
    <t xml:space="preserve">FY2026A is pro forma adjusted (excludes Stuart Weitzman and one-time items).</t>
  </si>
  <si>
    <t xml:space="preserve">Line</t>
  </si>
  <si>
    <t xml:space="preserve">FY2026A</t>
  </si>
  <si>
    <t xml:space="preserve">Coach net sales</t>
  </si>
  <si>
    <t xml:space="preserve">  Growth</t>
  </si>
  <si>
    <t xml:space="preserve">Kate Spade net sales</t>
  </si>
  <si>
    <t xml:space="preserve">Net sales</t>
  </si>
  <si>
    <t xml:space="preserve">Cost of sales</t>
  </si>
  <si>
    <t xml:space="preserve">Gross profit</t>
  </si>
  <si>
    <t xml:space="preserve">  Gross margin</t>
  </si>
  <si>
    <t xml:space="preserve">SG&amp;A</t>
  </si>
  <si>
    <t xml:space="preserve">  % of sales</t>
  </si>
  <si>
    <t xml:space="preserve">Operating income</t>
  </si>
  <si>
    <t xml:space="preserve">  Operating margin</t>
  </si>
  <si>
    <t xml:space="preserve">Interest expense on senior notes</t>
  </si>
  <si>
    <t xml:space="preserve">The 2027 notes are refinanced at today's cost of debt from FY2028.</t>
  </si>
  <si>
    <t xml:space="preserve">On cash at the start of the year.</t>
  </si>
  <si>
    <t xml:space="preserve">Net interest expense (other income for FY2026A)</t>
  </si>
  <si>
    <t xml:space="preserve">Income before taxes</t>
  </si>
  <si>
    <t xml:space="preserve">Income taxes</t>
  </si>
  <si>
    <t xml:space="preserve">Adjusted net income</t>
  </si>
  <si>
    <t xml:space="preserve">Diluted shares (average)</t>
  </si>
  <si>
    <t xml:space="preserve">Adjusted diluted EPS</t>
  </si>
  <si>
    <t xml:space="preserve">Balance Sheet</t>
  </si>
  <si>
    <t xml:space="preserve">Cash and cash equivalents</t>
  </si>
  <si>
    <t xml:space="preserve">Short-term investments</t>
  </si>
  <si>
    <t xml:space="preserve">Trade accounts receivable</t>
  </si>
  <si>
    <t xml:space="preserve">Inventories</t>
  </si>
  <si>
    <t xml:space="preserve">Other current assets</t>
  </si>
  <si>
    <t xml:space="preserve">Property, equipment and cloud computing assets</t>
  </si>
  <si>
    <t xml:space="preserve">Operating lease right-of-use assets</t>
  </si>
  <si>
    <t xml:space="preserve">Goodwill and intangibles</t>
  </si>
  <si>
    <t xml:space="preserve">Other assets</t>
  </si>
  <si>
    <t xml:space="preserve">Total assets</t>
  </si>
  <si>
    <t xml:space="preserve">Accounts payable</t>
  </si>
  <si>
    <t xml:space="preserve">Operating lease liabilities</t>
  </si>
  <si>
    <t xml:space="preserve">Debt</t>
  </si>
  <si>
    <t xml:space="preserve">Notes are refinanced when they mature.</t>
  </si>
  <si>
    <t xml:space="preserve">Other liabilities</t>
  </si>
  <si>
    <t xml:space="preserve">Total liabilities</t>
  </si>
  <si>
    <t xml:space="preserve">Stockholders' equity</t>
  </si>
  <si>
    <t xml:space="preserve">Check: assets less liabilities and equity</t>
  </si>
  <si>
    <t xml:space="preserve">Should be zero.</t>
  </si>
  <si>
    <t xml:space="preserve">Cash Flow Statement</t>
  </si>
  <si>
    <t xml:space="preserve">Net income</t>
  </si>
  <si>
    <t xml:space="preserve">Depreciation, amortization and cloud computing amortization</t>
  </si>
  <si>
    <t xml:space="preserve">Change in working capital</t>
  </si>
  <si>
    <t xml:space="preserve">Cash from operations</t>
  </si>
  <si>
    <t xml:space="preserve">Capex and cloud computing</t>
  </si>
  <si>
    <t xml:space="preserve">Free cash flow</t>
  </si>
  <si>
    <t xml:space="preserve">Dividends</t>
  </si>
  <si>
    <t xml:space="preserve">Share repurchases</t>
  </si>
  <si>
    <t xml:space="preserve">Change in cash</t>
  </si>
  <si>
    <t xml:space="preserve">Ending cash</t>
  </si>
  <si>
    <t xml:space="preserve">Shares and Dividends</t>
  </si>
  <si>
    <t xml:space="preserve">Dividend per share</t>
  </si>
  <si>
    <t xml:space="preserve">Average buyback price</t>
  </si>
  <si>
    <t xml:space="preserve">Basic shares, end of year</t>
  </si>
  <si>
    <t xml:space="preserve">FY2026A column uses the July 31, 2026 count.</t>
  </si>
  <si>
    <t xml:space="preserve">Discounted Cash Flow</t>
  </si>
  <si>
    <t xml:space="preserve">Unlevered free cash flow. Stock comp is treated as a real cost. Leases stay inside operating costs.</t>
  </si>
  <si>
    <t xml:space="preserve">Taxes on operating income</t>
  </si>
  <si>
    <t xml:space="preserve">D&amp;A</t>
  </si>
  <si>
    <t xml:space="preserve">Unlevered free cash flow</t>
  </si>
  <si>
    <t xml:space="preserve">Share of the year still ahead</t>
  </si>
  <si>
    <t xml:space="preserve">Cash flow counted</t>
  </si>
  <si>
    <t xml:space="preserve">Discount period (mid-year)</t>
  </si>
  <si>
    <t xml:space="preserve">years</t>
  </si>
  <si>
    <t xml:space="preserve">Discount factor</t>
  </si>
  <si>
    <t xml:space="preserve">Present value</t>
  </si>
  <si>
    <t xml:space="preserve">Value per Share</t>
  </si>
  <si>
    <t xml:space="preserve">Present value of FY2027 to FY2031 cash flows</t>
  </si>
  <si>
    <t xml:space="preserve">Terminal value at end of FY2031</t>
  </si>
  <si>
    <t xml:space="preserve">Gordon growth.</t>
  </si>
  <si>
    <t xml:space="preserve">Present value of terminal value</t>
  </si>
  <si>
    <t xml:space="preserve">Enterprise value</t>
  </si>
  <si>
    <t xml:space="preserve">Less: debt</t>
  </si>
  <si>
    <t xml:space="preserve">June 27, 2026.</t>
  </si>
  <si>
    <t xml:space="preserve">Plus: cash and short-term investments</t>
  </si>
  <si>
    <t xml:space="preserve">Equity value</t>
  </si>
  <si>
    <t xml:space="preserve">Diluted shares</t>
  </si>
  <si>
    <t xml:space="preserve">Upside / (downside) vs today's price</t>
  </si>
  <si>
    <t xml:space="preserve">Terminal value as % of enterprise value</t>
  </si>
  <si>
    <t xml:space="preserve">Implied exit EV / EBITDA (FY2031)</t>
  </si>
  <si>
    <t xml:space="preserve">Sanity check on the terminal value.</t>
  </si>
  <si>
    <t xml:space="preserve">Tapestry Model: Bull Case</t>
  </si>
  <si>
    <t xml:space="preserve">Tapestry Model: Bear Case</t>
  </si>
  <si>
    <t xml:space="preserve">Tapestry Model: Priced In Case</t>
  </si>
  <si>
    <t xml:space="preserve">Cost of Capital</t>
  </si>
  <si>
    <t xml:space="preserve">No manual data entry needed.</t>
  </si>
  <si>
    <t xml:space="preserve">Cost of Debt</t>
  </si>
  <si>
    <t xml:space="preserve">Market yield on Tapestry's 5.500% 2035 notes at June 27, 2026, moved up by the rise in the 10-year Treasury since then.</t>
  </si>
  <si>
    <t xml:space="preserve">Price of 5.500% 2035 notes, June 27, 2026</t>
  </si>
  <si>
    <t xml:space="preserve">% of par</t>
  </si>
  <si>
    <t xml:space="preserve">Fair value / principal from the 10-K debt note.</t>
  </si>
  <si>
    <t xml:space="preserve">Yield to maturity, June 27, 2026</t>
  </si>
  <si>
    <t xml:space="preserve">Change in 10-year Treasury since then</t>
  </si>
  <si>
    <t xml:space="preserve">Pre-tax cost of debt</t>
  </si>
  <si>
    <t xml:space="preserve">After-tax cost of debt</t>
  </si>
  <si>
    <t xml:space="preserve">Cost of Equity (CAPM)</t>
  </si>
  <si>
    <t xml:space="preserve">Risk-free rate</t>
  </si>
  <si>
    <t xml:space="preserve">Cost of equity</t>
  </si>
  <si>
    <t xml:space="preserve">Weights and WACC</t>
  </si>
  <si>
    <t xml:space="preserve">Market value of equity</t>
  </si>
  <si>
    <t xml:space="preserve">Book value (the notes trade close to par). Leases are left out on both sides of the DCF.</t>
  </si>
  <si>
    <t xml:space="preserve">Equity weight</t>
  </si>
  <si>
    <t xml:space="preserve">Debt weight</t>
  </si>
  <si>
    <t xml:space="preserve">Stub: valuation date to end of FY2027</t>
  </si>
  <si>
    <t xml:space="preserve">Comparable Companies</t>
  </si>
  <si>
    <t xml:space="preserve">Trading multiples from stockanalysis.com, Sep 29 to Oct 8, 2026. Market cap and EV in billions of local currency.</t>
  </si>
  <si>
    <t xml:space="preserve">Peer Multiples</t>
  </si>
  <si>
    <t xml:space="preserve">European peers report under IFRS 16, which adds rent back into EBITDA, so I compare on P/E and EV/EBIT, not EV/EBITDA.</t>
  </si>
  <si>
    <t xml:space="preserve">Company</t>
  </si>
  <si>
    <t xml:space="preserve">Price date</t>
  </si>
  <si>
    <t xml:space="preserve">Currency</t>
  </si>
  <si>
    <t xml:space="preserve">Market cap</t>
  </si>
  <si>
    <t xml:space="preserve">EV</t>
  </si>
  <si>
    <t xml:space="preserve">Fwd P/E</t>
  </si>
  <si>
    <t xml:space="preserve">EV / EBIT</t>
  </si>
  <si>
    <t xml:space="preserve">EV / EBITDA</t>
  </si>
  <si>
    <t xml:space="preserve">Op. margin</t>
  </si>
  <si>
    <t xml:space="preserve">Why it's here</t>
  </si>
  <si>
    <t xml:space="preserve">Ralph Lauren</t>
  </si>
  <si>
    <t xml:space="preserve">Oct 6, 2026</t>
  </si>
  <si>
    <t xml:space="preserve">USD</t>
  </si>
  <si>
    <t xml:space="preserve">Closest U.S. premium lifestyle brand.</t>
  </si>
  <si>
    <t xml:space="preserve">Capri Holdings</t>
  </si>
  <si>
    <t xml:space="preserve">Oct 5, 2026</t>
  </si>
  <si>
    <t xml:space="preserve">Michael Kors, Coach's most direct rival. Distressed.</t>
  </si>
  <si>
    <t xml:space="preserve">PVH</t>
  </si>
  <si>
    <t xml:space="preserve">Oct 8, 2026</t>
  </si>
  <si>
    <t xml:space="preserve">U.S. premium apparel (Calvin Klein, Tommy Hilfiger).</t>
  </si>
  <si>
    <t xml:space="preserve">Levi Strauss</t>
  </si>
  <si>
    <t xml:space="preserve">Oct 7, 2026</t>
  </si>
  <si>
    <t xml:space="preserve">U.S. heritage brand with a growing direct-to-consumer business.</t>
  </si>
  <si>
    <t xml:space="preserve">LVMH</t>
  </si>
  <si>
    <t xml:space="preserve">EUR</t>
  </si>
  <si>
    <t xml:space="preserve">Global luxury leader (Louis Vuitton).</t>
  </si>
  <si>
    <t xml:space="preserve">Kering</t>
  </si>
  <si>
    <t xml:space="preserve">Luxury handbags (Gucci). Earnings depressed.</t>
  </si>
  <si>
    <t xml:space="preserve">Prada</t>
  </si>
  <si>
    <t xml:space="preserve">Sep 29, 2026</t>
  </si>
  <si>
    <t xml:space="preserve">HKD</t>
  </si>
  <si>
    <t xml:space="preserve">Luxury handbags (Prada, Miu Miu).</t>
  </si>
  <si>
    <t xml:space="preserve">Moncler</t>
  </si>
  <si>
    <t xml:space="preserve">Luxury brand with high margins.</t>
  </si>
  <si>
    <t xml:space="preserve">Burberry</t>
  </si>
  <si>
    <t xml:space="preserve">GBP</t>
  </si>
  <si>
    <t xml:space="preserve">British luxury, mid-turnaround.</t>
  </si>
  <si>
    <t xml:space="preserve">Median</t>
  </si>
  <si>
    <t xml:space="preserve">25th percentile</t>
  </si>
  <si>
    <t xml:space="preserve">75th percentile</t>
  </si>
  <si>
    <t xml:space="preserve">Tapestry today</t>
  </si>
  <si>
    <t xml:space="preserve">Same basis as the peers: EV includes lease liabilities. Fwd P/E on FY2027 guidance midpoint; EV/EBIT on FY2026 adjusted.</t>
  </si>
  <si>
    <t xml:space="preserve">What the Peer Multiples Imply for Tapestry</t>
  </si>
  <si>
    <t xml:space="preserve">Multiple</t>
  </si>
  <si>
    <t xml:space="preserve">Tapestry metric</t>
  </si>
  <si>
    <t xml:space="preserve">Value / share</t>
  </si>
  <si>
    <t xml:space="preserve">Fwd P/E: 25th percentile</t>
  </si>
  <si>
    <t xml:space="preserve">FY2027 EPS guidance midpoint.</t>
  </si>
  <si>
    <t xml:space="preserve">Fwd P/E: median</t>
  </si>
  <si>
    <t xml:space="preserve">Fwd P/E: 75th percentile</t>
  </si>
  <si>
    <t xml:space="preserve">EV/EBIT: 25th percentile</t>
  </si>
  <si>
    <t xml:space="preserve">FY2026 adjusted operating income, less debt and leases, plus cash.</t>
  </si>
  <si>
    <t xml:space="preserve">EV/EBIT: median</t>
  </si>
  <si>
    <t xml:space="preserve">EV/EBIT: 75th percentile</t>
  </si>
  <si>
    <t xml:space="preserve">Sensitivity: Base Case Value per Share</t>
  </si>
  <si>
    <t xml:space="preserve">WACC across, terminal growth down. No manual data entry needed.</t>
  </si>
  <si>
    <t xml:space="preserve">Value per Share ($)</t>
  </si>
  <si>
    <t xml:space="preserve">The center column is the model's WACC. Each column is 0.5 points apart.</t>
  </si>
  <si>
    <t xml:space="preserve">Terminal growth  /  WACC</t>
  </si>
  <si>
    <t xml:space="preserve">-1.0%</t>
  </si>
  <si>
    <t xml:space="preserve">-0.5%</t>
  </si>
  <si>
    <t xml:space="preserve">+0.5%</t>
  </si>
  <si>
    <t xml:space="preserve">+1.0%</t>
  </si>
  <si>
    <t xml:space="preserve">WACC used</t>
  </si>
  <si>
    <t xml:space="preserve">Middle cell should equal the Base sheet's value per share.</t>
  </si>
  <si>
    <t xml:space="preserve">WACC Tapestry's price implies (Base case)</t>
  </si>
  <si>
    <t xml:space="preserve">Found by testing: the Base case is worth today's price at about a 10.0% WACC. See the README.</t>
  </si>
  <si>
    <t xml:space="preserve">Tapestry, Inc.: Reported Financials</t>
  </si>
  <si>
    <t xml:space="preserve">From the FY2026 Form 10-K (fiscal year ended June 27, 2026) and the Q4 FY2026 earnings release. $ in millions. Do not edit.</t>
  </si>
  <si>
    <t xml:space="preserve">Income Statement (GAAP)</t>
  </si>
  <si>
    <t xml:space="preserve">FY2024</t>
  </si>
  <si>
    <t xml:space="preserve">FY2025</t>
  </si>
  <si>
    <t xml:space="preserve">FY2026</t>
  </si>
  <si>
    <t xml:space="preserve">Source</t>
  </si>
  <si>
    <t xml:space="preserve">FY2026 10-K, Statements of Operations</t>
  </si>
  <si>
    <t xml:space="preserve">FY2026 10-K</t>
  </si>
  <si>
    <t xml:space="preserve">SG&amp;A expenses</t>
  </si>
  <si>
    <t xml:space="preserve">Impairment of goodwill and intangible assets</t>
  </si>
  <si>
    <t xml:space="preserve">FY2026 10-K (Kate Spade)</t>
  </si>
  <si>
    <t xml:space="preserve">Operating income (loss)</t>
  </si>
  <si>
    <t xml:space="preserve">Loss on extinguishment of debt</t>
  </si>
  <si>
    <t xml:space="preserve">Interest expense, net</t>
  </si>
  <si>
    <t xml:space="preserve">Other expense (income)</t>
  </si>
  <si>
    <t xml:space="preserve">Provision for income taxes</t>
  </si>
  <si>
    <t xml:space="preserve">Diluted EPS</t>
  </si>
  <si>
    <t xml:space="preserve">Basic shares</t>
  </si>
  <si>
    <t xml:space="preserve">Adjusted (Non-GAAP) Results, as Reported by Tapestry</t>
  </si>
  <si>
    <t xml:space="preserve">FY2026 adjusted results exclude Stuart Weitzman (sold Aug 4, 2025), a $98.3M IEEPA tariff refund gain and restructuring costs.</t>
  </si>
  <si>
    <t xml:space="preserve">Net sales (FY2026 pro forma, excludes Stuart Weitzman)</t>
  </si>
  <si>
    <t xml:space="preserve">Q4 FY2026 earnings release (8-K Ex. 99.1, Aug 13, 2026), non-GAAP reconciliation</t>
  </si>
  <si>
    <t xml:space="preserve">Net Sales by Brand</t>
  </si>
  <si>
    <t xml:space="preserve">Brand</t>
  </si>
  <si>
    <t xml:space="preserve">Coach</t>
  </si>
  <si>
    <t xml:space="preserve">FY2026 10-K, Segment Information</t>
  </si>
  <si>
    <t xml:space="preserve">Kate Spade</t>
  </si>
  <si>
    <t xml:space="preserve">Stuart Weitzman (sold Aug 4, 2025)</t>
  </si>
  <si>
    <t xml:space="preserve">Total</t>
  </si>
  <si>
    <t xml:space="preserve">Ties to net sales</t>
  </si>
  <si>
    <t xml:space="preserve">Segment Operating Profit (GAAP)</t>
  </si>
  <si>
    <t xml:space="preserve">Segment</t>
  </si>
  <si>
    <t xml:space="preserve">FY2026 10-K (FY2025 includes the $854.8M impairment)</t>
  </si>
  <si>
    <t xml:space="preserve">Stuart Weitzman</t>
  </si>
  <si>
    <t xml:space="preserve">Unallocated corporate expenses</t>
  </si>
  <si>
    <t xml:space="preserve">Total operating income</t>
  </si>
  <si>
    <t xml:space="preserve">Ties to the income statement</t>
  </si>
  <si>
    <t xml:space="preserve">Net Sales by Product and Region</t>
  </si>
  <si>
    <t xml:space="preserve">Handbags</t>
  </si>
  <si>
    <t xml:space="preserve">FY2026 10-K, Net Sales by Product Category</t>
  </si>
  <si>
    <t xml:space="preserve">Accessories</t>
  </si>
  <si>
    <t xml:space="preserve">Footwear</t>
  </si>
  <si>
    <t xml:space="preserve">Other</t>
  </si>
  <si>
    <t xml:space="preserve">United States</t>
  </si>
  <si>
    <t xml:space="preserve">FY2026 10-K, Geographical Area Information</t>
  </si>
  <si>
    <t xml:space="preserve">China</t>
  </si>
  <si>
    <t xml:space="preserve">Japan</t>
  </si>
  <si>
    <t xml:space="preserve">Jun 28, 2025</t>
  </si>
  <si>
    <t xml:space="preserve">Jun 27, 2026</t>
  </si>
  <si>
    <t xml:space="preserve">FY2026 10-K, Balance Sheets</t>
  </si>
  <si>
    <t xml:space="preserve">Income tax receivable, prepaid and other current assets</t>
  </si>
  <si>
    <t xml:space="preserve">FY2026 10-K (FY2025 includes $176.4M held for sale)</t>
  </si>
  <si>
    <t xml:space="preserve">Property and equipment, net</t>
  </si>
  <si>
    <t xml:space="preserve">Goodwill</t>
  </si>
  <si>
    <t xml:space="preserve">Intangible assets</t>
  </si>
  <si>
    <t xml:space="preserve">Deferred income taxes and other assets</t>
  </si>
  <si>
    <t xml:space="preserve">Ties to $6,580.5M and $6,691.7M</t>
  </si>
  <si>
    <t xml:space="preserve">Current operating lease liabilities</t>
  </si>
  <si>
    <t xml:space="preserve">Current debt and liabilities held for sale</t>
  </si>
  <si>
    <t xml:space="preserve">Long-term debt</t>
  </si>
  <si>
    <t xml:space="preserve">Long-term operating lease liabilities</t>
  </si>
  <si>
    <t xml:space="preserve">Deferred income taxes and other liabilities</t>
  </si>
  <si>
    <t xml:space="preserve">Ties to $5,722.7M and $5,999.6M</t>
  </si>
  <si>
    <t xml:space="preserve">Should be zero</t>
  </si>
  <si>
    <t xml:space="preserve">Cash Flow Highlights</t>
  </si>
  <si>
    <t xml:space="preserve">Net cash from operating activities</t>
  </si>
  <si>
    <t xml:space="preserve">FY2026 10-K, Statements of Cash Flows</t>
  </si>
  <si>
    <t xml:space="preserve">Purchases of property and equipment</t>
  </si>
  <si>
    <t xml:space="preserve">Depreciation and amortization</t>
  </si>
  <si>
    <t xml:space="preserve">Amortization of cloud computing arrangements</t>
  </si>
  <si>
    <t xml:space="preserve">Share-based compensation</t>
  </si>
  <si>
    <t xml:space="preserve">Dividends paid</t>
  </si>
  <si>
    <t xml:space="preserve">Senior Notes Outstanding (June 27, 2026)</t>
  </si>
  <si>
    <t xml:space="preserve">Coupon</t>
  </si>
  <si>
    <t xml:space="preserve">Principal</t>
  </si>
  <si>
    <t xml:space="preserve">Fair value</t>
  </si>
  <si>
    <t xml:space="preserve">4.125% Senior Notes due 2027</t>
  </si>
  <si>
    <t xml:space="preserve">FY2026 10-K, Debt note</t>
  </si>
  <si>
    <t xml:space="preserve">5.100% Senior Notes due March 11, 2030</t>
  </si>
  <si>
    <t xml:space="preserve">FY2026 10-K; maturity date from the Dec 4, 2024 pricing term sheet</t>
  </si>
  <si>
    <t xml:space="preserve">3.050% Senior Notes due 2032</t>
  </si>
  <si>
    <t xml:space="preserve">5.500% Senior Notes due March 11, 2035</t>
  </si>
  <si>
    <t xml:space="preserve">Other Facts</t>
  </si>
  <si>
    <t xml:space="preserve">Fact</t>
  </si>
  <si>
    <t xml:space="preserve">Shares outstanding, July 31, 2026</t>
  </si>
  <si>
    <t xml:space="preserve">FY2026 10-K cover page</t>
  </si>
  <si>
    <t xml:space="preserve">Dilutive securities in FY2026 diluted EPS</t>
  </si>
  <si>
    <t xml:space="preserve">FY2026 10-K, Earnings per Share</t>
  </si>
  <si>
    <t xml:space="preserve">New customers acquired in FY2026</t>
  </si>
  <si>
    <t xml:space="preserve">Q4 FY2026 earnings release (8-K Ex. 99.1, Aug 13, 2026), non-GAAP reconciliation: 'approximately 11.0 million', about 35% Gen Z</t>
  </si>
  <si>
    <t xml:space="preserve">Coach directly operated stores, June 27, 2026</t>
  </si>
  <si>
    <t xml:space="preserve">#</t>
  </si>
  <si>
    <t xml:space="preserve">Q4 FY2026 earnings release (8-K Ex. 99.1, Aug 13, 2026), non-GAAP reconciliation (931 a year earlier)</t>
  </si>
  <si>
    <t xml:space="preserve">Kate Spade directly operated stores, June 27, 2026</t>
  </si>
  <si>
    <t xml:space="preserve">Q4 FY2026 earnings release (8-K Ex. 99.1, Aug 13, 2026), non-GAAP reconciliation (360 a year earlier)</t>
  </si>
  <si>
    <t xml:space="preserve">Shares repurchased in FY2026</t>
  </si>
  <si>
    <t xml:space="preserve">Q4 FY2026 earnings release (8-K Ex. 99.1, Aug 13, 2026), non-GAAP reconciliation: about 11.5M shares at about $118 average</t>
  </si>
  <si>
    <t xml:space="preserve">Prices, rates and guidance used in the model, with sources. Do not edit.</t>
  </si>
  <si>
    <t xml:space="preserve">Tapestry Stock and Street View</t>
  </si>
  <si>
    <t xml:space="preserve">Share price, close Oct 8, 2026</t>
  </si>
  <si>
    <t xml:space="preserve">stockanalysis.com/stocks/tpr</t>
  </si>
  <si>
    <t xml:space="preserve">52-week high</t>
  </si>
  <si>
    <t xml:space="preserve">stockanalysis.com/stocks/tpr (early August 2026)</t>
  </si>
  <si>
    <t xml:space="preserve">52-week low</t>
  </si>
  <si>
    <t xml:space="preserve">Beta (5-year)</t>
  </si>
  <si>
    <t xml:space="preserve">stockanalysis.com/stocks/tpr/statistics</t>
  </si>
  <si>
    <t xml:space="preserve">Average analyst price target</t>
  </si>
  <si>
    <t xml:space="preserve">stockanalysis.com (22 analysts, consensus Buy)</t>
  </si>
  <si>
    <t xml:space="preserve">Lowest analyst price target</t>
  </si>
  <si>
    <t xml:space="preserve">MarketBeat, Sep 21, 2026</t>
  </si>
  <si>
    <t xml:space="preserve">Highest analyst price target</t>
  </si>
  <si>
    <t xml:space="preserve">FY2027 Guidance (Aug 13, 2026)</t>
  </si>
  <si>
    <t xml:space="preserve">Revenue</t>
  </si>
  <si>
    <t xml:space="preserve">Q4 FY2026 earnings release (8-K Ex. 99.1, Aug 13, 2026), non-GAAP reconciliation (mid-single digit growth, includes a 53rd week)</t>
  </si>
  <si>
    <t xml:space="preserve">Adjusted EPS</t>
  </si>
  <si>
    <t xml:space="preserve">Operating margin expansion</t>
  </si>
  <si>
    <t xml:space="preserve">Q4 FY2026 earnings release (8-K Ex. 99.1, Aug 13, 2026), non-GAAP reconciliation: 'approximately 50 bps'</t>
  </si>
  <si>
    <t xml:space="preserve">Adjusted free cash flow</t>
  </si>
  <si>
    <t xml:space="preserve">Q4 FY2026 earnings release (8-K Ex. 99.1, Aug 13, 2026), non-GAAP reconciliation: 'approaching $1.7 billion'</t>
  </si>
  <si>
    <t xml:space="preserve">CapEx and cloud computing costs</t>
  </si>
  <si>
    <t xml:space="preserve">Annual dividend per share</t>
  </si>
  <si>
    <t xml:space="preserve">Q4 FY2026 earnings release (8-K Ex. 99.1, Aug 13, 2026), non-GAAP reconciliation: $0.4625 a quarter</t>
  </si>
  <si>
    <t xml:space="preserve">Rates</t>
  </si>
  <si>
    <t xml:space="preserve">10-year Treasury, Oct 7, 2026</t>
  </si>
  <si>
    <t xml:space="preserve">home.treasury.gov daily par yield curve. Highest since 2002 (Forbes, Oct 7, 2026)</t>
  </si>
  <si>
    <t xml:space="preserve">10-year Treasury, Jun 26, 2026</t>
  </si>
  <si>
    <t xml:space="preserve">home.treasury.gov daily par yield curve</t>
  </si>
  <si>
    <t xml:space="preserve">1-year Treasury, Oct 7, 2026</t>
  </si>
  <si>
    <t xml:space="preserve">Implied equity risk premium (S&amp;P 500)</t>
  </si>
  <si>
    <t xml:space="preserve">Aswath Damodaran, January 2026 (via BVWire)</t>
  </si>
  <si>
    <t xml:space="preserve">Tapestry senior note ratings (Moody's / S&amp;P)</t>
  </si>
  <si>
    <t xml:space="preserve">Baa2 / BBB</t>
  </si>
  <si>
    <t xml:space="preserve">Pricing term sheet, Dec 4, 2024 (expected ratings)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</si>
</sst>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[RED]&quot;($&quot;#,##0.00\);\-"/>
    <numFmt numFmtId="166" formatCode="0.0%;[RED]\(0.0%\);\-"/>
    <numFmt numFmtId="167" formatCode="#,##0;[RED]\(#,##0\);\-"/>
    <numFmt numFmtId="168" formatCode="#,##0.0;[RED]\(#,##0.0\);\-"/>
    <numFmt numFmtId="169" formatCode="0.00%;[RED]\(0.00%\);\-"/>
    <numFmt numFmtId="170" formatCode="mmm\ d&quot;, &quot;yyyy"/>
    <numFmt numFmtId="171" formatCode="0.00"/>
    <numFmt numFmtId="172" formatCode="0.000"/>
    <numFmt numFmtId="173" formatCode="0.0000"/>
    <numFmt numFmtId="174" formatCode="0.0\x;[RED]\(0.0&quot;x)&quot;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6B6B6B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24"/>
    <col collapsed="false" customWidth="true" hidden="false" outlineLevel="0" max="3" min="3" style="0" width="10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28.35" hidden="false" customHeight="false" outlineLevel="0" collapsed="false">
      <c r="B6" s="4" t="s">
        <v>4</v>
      </c>
      <c r="C6" s="5" t="s">
        <v>5</v>
      </c>
    </row>
    <row r="7" customFormat="false" ht="28.35" hidden="false" customHeight="false" outlineLevel="0" collapsed="false">
      <c r="B7" s="4" t="s">
        <v>6</v>
      </c>
      <c r="C7" s="5" t="s">
        <v>7</v>
      </c>
    </row>
    <row r="8" customFormat="false" ht="28.3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6" t="s">
        <v>18</v>
      </c>
      <c r="C13" s="7" t="s">
        <v>19</v>
      </c>
    </row>
    <row r="15" customFormat="false" ht="15" hidden="false" customHeight="false" outlineLevel="0" collapsed="false">
      <c r="B15" s="3" t="s">
        <v>20</v>
      </c>
      <c r="C15" s="3"/>
    </row>
    <row r="16" customFormat="false" ht="28.35" hidden="false" customHeight="false" outlineLevel="0" collapsed="false">
      <c r="B16" s="4" t="s">
        <v>21</v>
      </c>
      <c r="C16" s="5" t="s">
        <v>22</v>
      </c>
    </row>
    <row r="17" customFormat="false" ht="28.35" hidden="false" customHeight="false" outlineLevel="0" collapsed="false">
      <c r="B17" s="4" t="s">
        <v>23</v>
      </c>
      <c r="C17" s="5" t="s">
        <v>24</v>
      </c>
    </row>
    <row r="18" customFormat="false" ht="28.35" hidden="false" customHeight="false" outlineLevel="0" collapsed="false">
      <c r="B18" s="4" t="s">
        <v>25</v>
      </c>
      <c r="C18" s="5" t="s">
        <v>26</v>
      </c>
    </row>
    <row r="19" customFormat="false" ht="15" hidden="false" customHeight="false" outlineLevel="0" collapsed="false">
      <c r="B19" s="6" t="s">
        <v>27</v>
      </c>
      <c r="C19" s="7" t="s">
        <v>28</v>
      </c>
    </row>
    <row r="21" customFormat="false" ht="15" hidden="false" customHeight="false" outlineLevel="0" collapsed="false">
      <c r="B21" s="3" t="s">
        <v>29</v>
      </c>
      <c r="C21" s="3"/>
    </row>
    <row r="22" customFormat="false" ht="15" hidden="false" customHeight="false" outlineLevel="0" collapsed="false">
      <c r="B22" s="4" t="s">
        <v>30</v>
      </c>
      <c r="C22" s="5" t="s">
        <v>31</v>
      </c>
    </row>
    <row r="23" customFormat="false" ht="28.35" hidden="false" customHeight="false" outlineLevel="0" collapsed="false">
      <c r="B23" s="4" t="s">
        <v>32</v>
      </c>
      <c r="C23" s="5" t="s">
        <v>33</v>
      </c>
    </row>
    <row r="24" customFormat="false" ht="28.35" hidden="false" customHeight="false" outlineLevel="0" collapsed="false">
      <c r="B24" s="6" t="s">
        <v>34</v>
      </c>
      <c r="C24" s="7" t="s">
        <v>35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6" min="3" style="0" width="15"/>
    <col collapsed="false" customWidth="true" hidden="false" outlineLevel="0" max="7" min="7" style="0" width="50"/>
  </cols>
  <sheetData>
    <row r="2" customFormat="false" ht="15" hidden="false" customHeight="false" outlineLevel="0" collapsed="false">
      <c r="B2" s="8" t="s">
        <v>36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37</v>
      </c>
    </row>
    <row r="5" customFormat="false" ht="15" hidden="false" customHeight="false" outlineLevel="0" collapsed="false">
      <c r="B5" s="11" t="s">
        <v>38</v>
      </c>
      <c r="C5" s="12"/>
    </row>
    <row r="6" customFormat="false" ht="15" hidden="false" customHeight="false" outlineLevel="0" collapsed="false">
      <c r="B6" s="3" t="s">
        <v>39</v>
      </c>
      <c r="C6" s="3" t="s">
        <v>40</v>
      </c>
    </row>
    <row r="7" customFormat="false" ht="15" hidden="false" customHeight="false" outlineLevel="0" collapsed="false">
      <c r="B7" s="13" t="s">
        <v>41</v>
      </c>
      <c r="C7" s="14" t="n">
        <f aca="false">Inputs!$C$53</f>
        <v>115.82</v>
      </c>
    </row>
    <row r="8" customFormat="false" ht="15" hidden="false" customHeight="false" outlineLevel="0" collapsed="false">
      <c r="B8" s="13" t="s">
        <v>42</v>
      </c>
      <c r="C8" s="14" t="n">
        <f aca="false">Base!$D$97</f>
        <v>104.602591659197</v>
      </c>
    </row>
    <row r="9" customFormat="false" ht="15" hidden="false" customHeight="false" outlineLevel="0" collapsed="false">
      <c r="B9" s="15" t="s">
        <v>43</v>
      </c>
      <c r="C9" s="16" t="n">
        <f aca="false">ROUND(C8*(1+WACC!$C$19)-Inputs!$C$42,0)</f>
        <v>115</v>
      </c>
    </row>
    <row r="10" customFormat="false" ht="15" hidden="false" customHeight="false" outlineLevel="0" collapsed="false">
      <c r="B10" s="13" t="s">
        <v>44</v>
      </c>
      <c r="C10" s="17" t="n">
        <f aca="false">C9/C7-1</f>
        <v>-0.00707995164911068</v>
      </c>
    </row>
    <row r="11" customFormat="false" ht="15" hidden="false" customHeight="false" outlineLevel="0" collapsed="false">
      <c r="B11" s="18" t="s">
        <v>45</v>
      </c>
      <c r="C11" s="18" t="str">
        <f aca="false">IF(C10&gt;0.15,"BUY",IF(C10&lt;-0.15,"SELL","HOLD"))</f>
        <v>HOLD</v>
      </c>
    </row>
    <row r="12" customFormat="false" ht="15" hidden="false" customHeight="false" outlineLevel="0" collapsed="false">
      <c r="B12" s="10" t="s">
        <v>46</v>
      </c>
    </row>
    <row r="14" customFormat="false" ht="15" hidden="false" customHeight="false" outlineLevel="0" collapsed="false">
      <c r="B14" s="11" t="s">
        <v>47</v>
      </c>
      <c r="C14" s="12"/>
    </row>
    <row r="15" customFormat="false" ht="15" hidden="false" customHeight="false" outlineLevel="0" collapsed="false">
      <c r="B15" s="10" t="s">
        <v>48</v>
      </c>
    </row>
    <row r="16" customFormat="false" ht="15" hidden="false" customHeight="false" outlineLevel="0" collapsed="false">
      <c r="B16" s="15" t="s">
        <v>49</v>
      </c>
      <c r="C16" s="19" t="s">
        <v>50</v>
      </c>
    </row>
    <row r="17" customFormat="false" ht="15" hidden="false" customHeight="false" outlineLevel="0" collapsed="false">
      <c r="B17" s="15" t="s">
        <v>51</v>
      </c>
      <c r="C17" s="14" t="n">
        <f aca="false">INDEX($C$26:$F$26,MATCH($C$16,$C$25:$F$25,0))</f>
        <v>104.602591659197</v>
      </c>
    </row>
    <row r="18" customFormat="false" ht="15" hidden="false" customHeight="false" outlineLevel="0" collapsed="false">
      <c r="B18" s="15" t="s">
        <v>52</v>
      </c>
      <c r="C18" s="17" t="n">
        <f aca="false">INDEX($C$27:$F$27,MATCH($C$16,$C$25:$F$25,0))</f>
        <v>-0.0968520837575796</v>
      </c>
    </row>
    <row r="19" customFormat="false" ht="15" hidden="false" customHeight="false" outlineLevel="0" collapsed="false">
      <c r="B19" s="15" t="s">
        <v>53</v>
      </c>
      <c r="C19" s="14" t="n">
        <f aca="false">INDEX($C$28:$F$28,MATCH($C$16,$C$25:$F$25,0))</f>
        <v>7.92667741972832</v>
      </c>
    </row>
    <row r="20" customFormat="false" ht="15" hidden="false" customHeight="false" outlineLevel="0" collapsed="false">
      <c r="B20" s="15" t="s">
        <v>54</v>
      </c>
      <c r="C20" s="14" t="n">
        <f aca="false">INDEX($C$29:$F$29,MATCH($C$16,$C$25:$F$25,0))</f>
        <v>8.74017740839731</v>
      </c>
    </row>
    <row r="21" customFormat="false" ht="15" hidden="false" customHeight="false" outlineLevel="0" collapsed="false">
      <c r="B21" s="15" t="s">
        <v>55</v>
      </c>
      <c r="C21" s="17" t="n">
        <f aca="false">INDEX($C$30:$F$30,MATCH($C$16,$C$25:$F$25,0))</f>
        <v>0.0537135544259968</v>
      </c>
    </row>
    <row r="22" customFormat="false" ht="15" hidden="false" customHeight="false" outlineLevel="0" collapsed="false">
      <c r="B22" s="18" t="s">
        <v>56</v>
      </c>
      <c r="C22" s="20" t="n">
        <f aca="false">INDEX($C$32:$F$32,MATCH($C$16,$C$25:$F$25,0))</f>
        <v>0.245</v>
      </c>
    </row>
    <row r="24" customFormat="false" ht="15" hidden="false" customHeight="false" outlineLevel="0" collapsed="false">
      <c r="B24" s="11" t="s">
        <v>57</v>
      </c>
      <c r="C24" s="12"/>
      <c r="D24" s="12"/>
      <c r="E24" s="12"/>
      <c r="F24" s="12"/>
    </row>
    <row r="25" customFormat="false" ht="15" hidden="false" customHeight="false" outlineLevel="0" collapsed="false">
      <c r="B25" s="3" t="s">
        <v>58</v>
      </c>
      <c r="C25" s="3" t="s">
        <v>50</v>
      </c>
      <c r="D25" s="3" t="s">
        <v>59</v>
      </c>
      <c r="E25" s="3" t="s">
        <v>60</v>
      </c>
      <c r="F25" s="3" t="s">
        <v>61</v>
      </c>
    </row>
    <row r="26" customFormat="false" ht="15" hidden="false" customHeight="false" outlineLevel="0" collapsed="false">
      <c r="B26" s="13" t="s">
        <v>51</v>
      </c>
      <c r="C26" s="14" t="n">
        <f aca="false">Base!$D$97</f>
        <v>104.602591659197</v>
      </c>
      <c r="D26" s="14" t="n">
        <f aca="false">Bull!$D$97</f>
        <v>123.664106544813</v>
      </c>
      <c r="E26" s="14" t="n">
        <f aca="false">Bear!$D$97</f>
        <v>73.2130883184023</v>
      </c>
      <c r="F26" s="14" t="n">
        <f aca="false">'Priced In'!$D$97</f>
        <v>115.748467464357</v>
      </c>
    </row>
    <row r="27" customFormat="false" ht="15" hidden="false" customHeight="false" outlineLevel="0" collapsed="false">
      <c r="B27" s="13" t="s">
        <v>52</v>
      </c>
      <c r="C27" s="17" t="n">
        <f aca="false">Base!$D$98</f>
        <v>-0.0968520837575796</v>
      </c>
      <c r="D27" s="17" t="n">
        <f aca="false">Bull!$D$98</f>
        <v>0.0677267013021343</v>
      </c>
      <c r="E27" s="17" t="n">
        <f aca="false">Bear!$D$98</f>
        <v>-0.367871798321513</v>
      </c>
      <c r="F27" s="17" t="n">
        <f aca="false">'Priced In'!$D$98</f>
        <v>-0.000617618163035405</v>
      </c>
    </row>
    <row r="28" customFormat="false" ht="15" hidden="false" customHeight="false" outlineLevel="0" collapsed="false">
      <c r="B28" s="13" t="s">
        <v>53</v>
      </c>
      <c r="C28" s="14" t="n">
        <f aca="false">Base!$E$28</f>
        <v>7.92667741972832</v>
      </c>
      <c r="D28" s="14" t="n">
        <f aca="false">Bull!$E$28</f>
        <v>8.07335853360685</v>
      </c>
      <c r="E28" s="14" t="n">
        <f aca="false">Bear!$E$28</f>
        <v>7.66045553248765</v>
      </c>
      <c r="F28" s="14" t="n">
        <f aca="false">'Priced In'!$E$28</f>
        <v>7.92667741972832</v>
      </c>
    </row>
    <row r="29" customFormat="false" ht="15" hidden="false" customHeight="false" outlineLevel="0" collapsed="false">
      <c r="B29" s="13" t="s">
        <v>54</v>
      </c>
      <c r="C29" s="14" t="n">
        <f aca="false">Base!$F$28</f>
        <v>8.74017740839731</v>
      </c>
      <c r="D29" s="14" t="n">
        <f aca="false">Bull!$F$28</f>
        <v>9.49600870675602</v>
      </c>
      <c r="E29" s="14" t="n">
        <f aca="false">Bear!$F$28</f>
        <v>7.30849483496714</v>
      </c>
      <c r="F29" s="14" t="n">
        <f aca="false">'Priced In'!$F$28</f>
        <v>8.93183192027291</v>
      </c>
    </row>
    <row r="30" customFormat="false" ht="15" hidden="false" customHeight="false" outlineLevel="0" collapsed="false">
      <c r="B30" s="13" t="s">
        <v>55</v>
      </c>
      <c r="C30" s="17" t="n">
        <f aca="false">(Base!$I$8/Base!$D$8)^(1/5)-1</f>
        <v>0.0537135544259968</v>
      </c>
      <c r="D30" s="17" t="n">
        <f aca="false">(Bull!$I$8/Bull!$D$8)^(1/5)-1</f>
        <v>0.0779367508053723</v>
      </c>
      <c r="E30" s="17" t="n">
        <f aca="false">(Bear!$I$8/Bear!$D$8)^(1/5)-1</f>
        <v>0.0136562378784653</v>
      </c>
      <c r="F30" s="17" t="n">
        <f aca="false">('Priced In'!$I$8/'Priced In'!$D$8)^(1/5)-1</f>
        <v>0.079</v>
      </c>
    </row>
    <row r="31" customFormat="false" ht="15" hidden="false" customHeight="false" outlineLevel="0" collapsed="false">
      <c r="B31" s="13" t="s">
        <v>62</v>
      </c>
      <c r="C31" s="21" t="n">
        <f aca="false">Base!$I$12</f>
        <v>9970.48128461751</v>
      </c>
      <c r="D31" s="21" t="n">
        <f aca="false">Bull!$I$12</f>
        <v>11156.6626979335</v>
      </c>
      <c r="E31" s="21" t="n">
        <f aca="false">Bear!$I$12</f>
        <v>8290.821951252</v>
      </c>
      <c r="F31" s="21" t="n">
        <f aca="false">'Priced In'!$I$12</f>
        <v>11101.2228432323</v>
      </c>
    </row>
    <row r="32" customFormat="false" ht="15" hidden="false" customHeight="false" outlineLevel="0" collapsed="false">
      <c r="B32" s="13" t="s">
        <v>56</v>
      </c>
      <c r="C32" s="17" t="n">
        <f aca="false">Base!$I$20</f>
        <v>0.245</v>
      </c>
      <c r="D32" s="17" t="n">
        <f aca="false">Bull!$I$20</f>
        <v>0.26</v>
      </c>
      <c r="E32" s="17" t="n">
        <f aca="false">Bear!$I$20</f>
        <v>0.205</v>
      </c>
      <c r="F32" s="17" t="n">
        <f aca="false">'Priced In'!$I$20</f>
        <v>0.245</v>
      </c>
    </row>
    <row r="33" customFormat="false" ht="15" hidden="false" customHeight="false" outlineLevel="0" collapsed="false">
      <c r="B33" s="13" t="s">
        <v>63</v>
      </c>
      <c r="C33" s="21" t="n">
        <f aca="false">Base!$I$80</f>
        <v>1951.17285164933</v>
      </c>
      <c r="D33" s="21" t="n">
        <f aca="false">Bull!$I$80</f>
        <v>2327.60821580363</v>
      </c>
      <c r="E33" s="21" t="n">
        <f aca="false">Bear!$I$80</f>
        <v>1345.60582458375</v>
      </c>
      <c r="F33" s="21" t="n">
        <f aca="false">'Priced In'!$I$80</f>
        <v>2184.86931987364</v>
      </c>
    </row>
    <row r="34" customFormat="false" ht="15" hidden="false" customHeight="false" outlineLevel="0" collapsed="false">
      <c r="B34" s="22" t="s">
        <v>64</v>
      </c>
      <c r="C34" s="20" t="n">
        <f aca="false">Base!$D$99</f>
        <v>0.705665662847036</v>
      </c>
      <c r="D34" s="20" t="n">
        <f aca="false">Bull!$D$99</f>
        <v>0.718026145442933</v>
      </c>
      <c r="E34" s="20" t="n">
        <f aca="false">Bear!$D$99</f>
        <v>0.679577587530771</v>
      </c>
      <c r="F34" s="20" t="n">
        <f aca="false">'Priced In'!$D$99</f>
        <v>0.717825780269885</v>
      </c>
    </row>
    <row r="36" customFormat="false" ht="15" hidden="false" customHeight="false" outlineLevel="0" collapsed="false">
      <c r="B36" s="11" t="s">
        <v>65</v>
      </c>
      <c r="C36" s="12"/>
      <c r="D36" s="12"/>
      <c r="E36" s="12"/>
      <c r="F36" s="12"/>
    </row>
    <row r="37" customFormat="false" ht="15" hidden="false" customHeight="false" outlineLevel="0" collapsed="false">
      <c r="B37" s="3" t="s">
        <v>66</v>
      </c>
      <c r="C37" s="3" t="s">
        <v>67</v>
      </c>
      <c r="D37" s="3" t="s">
        <v>68</v>
      </c>
      <c r="E37" s="3"/>
      <c r="F37" s="3"/>
      <c r="G37" s="3" t="s">
        <v>69</v>
      </c>
    </row>
    <row r="38" customFormat="false" ht="15" hidden="false" customHeight="false" outlineLevel="0" collapsed="false">
      <c r="B38" s="13" t="s">
        <v>70</v>
      </c>
      <c r="C38" s="14" t="n">
        <f aca="false">'Market Data'!$C$9</f>
        <v>93</v>
      </c>
      <c r="D38" s="14" t="n">
        <f aca="false">'Market Data'!$C$8</f>
        <v>164.8</v>
      </c>
      <c r="G38" s="13" t="s">
        <v>71</v>
      </c>
    </row>
    <row r="39" customFormat="false" ht="15" hidden="false" customHeight="false" outlineLevel="0" collapsed="false">
      <c r="B39" s="13" t="s">
        <v>72</v>
      </c>
      <c r="C39" s="14" t="n">
        <f aca="false">'Market Data'!$C$12</f>
        <v>138</v>
      </c>
      <c r="D39" s="14" t="n">
        <f aca="false">'Market Data'!$C$13</f>
        <v>232</v>
      </c>
      <c r="G39" s="13" t="s">
        <v>73</v>
      </c>
    </row>
    <row r="40" customFormat="false" ht="15" hidden="false" customHeight="false" outlineLevel="0" collapsed="false">
      <c r="B40" s="13" t="s">
        <v>74</v>
      </c>
      <c r="C40" s="14" t="n">
        <f aca="false">Bear!$D$97</f>
        <v>73.2130883184023</v>
      </c>
      <c r="D40" s="14" t="n">
        <f aca="false">Bull!$D$97</f>
        <v>123.664106544813</v>
      </c>
      <c r="G40" s="13" t="s">
        <v>75</v>
      </c>
    </row>
    <row r="41" customFormat="false" ht="15" hidden="false" customHeight="false" outlineLevel="0" collapsed="false">
      <c r="B41" s="13" t="s">
        <v>76</v>
      </c>
      <c r="C41" s="14" t="n">
        <f aca="false">Sensitivity!$G$11</f>
        <v>92.1313649939964</v>
      </c>
      <c r="D41" s="14" t="n">
        <f aca="false">Sensitivity!$C$11</f>
        <v>120.806797144179</v>
      </c>
      <c r="G41" s="13" t="s">
        <v>77</v>
      </c>
    </row>
    <row r="42" customFormat="false" ht="15" hidden="false" customHeight="false" outlineLevel="0" collapsed="false">
      <c r="B42" s="13" t="s">
        <v>78</v>
      </c>
      <c r="C42" s="14" t="n">
        <f aca="false">Comps!$E$25</f>
        <v>95.456</v>
      </c>
      <c r="D42" s="14" t="n">
        <f aca="false">Comps!$E$27</f>
        <v>147.5015</v>
      </c>
      <c r="G42" s="13" t="s">
        <v>79</v>
      </c>
    </row>
    <row r="43" customFormat="false" ht="15" hidden="false" customHeight="false" outlineLevel="0" collapsed="false">
      <c r="B43" s="13" t="s">
        <v>80</v>
      </c>
      <c r="C43" s="14" t="n">
        <f aca="false">Comps!$E$28</f>
        <v>98.4554929309931</v>
      </c>
      <c r="D43" s="14" t="n">
        <f aca="false">Comps!$E$30</f>
        <v>200.280023007546</v>
      </c>
      <c r="G43" s="13" t="s">
        <v>79</v>
      </c>
    </row>
    <row r="44" customFormat="false" ht="15" hidden="false" customHeight="false" outlineLevel="0" collapsed="false">
      <c r="B44" s="18" t="s">
        <v>81</v>
      </c>
      <c r="C44" s="23" t="n">
        <f aca="false">Inputs!$C$53</f>
        <v>115.82</v>
      </c>
      <c r="D44" s="23" t="n">
        <f aca="false">Inputs!$C$53</f>
        <v>115.82</v>
      </c>
      <c r="E44" s="24"/>
      <c r="F44" s="24"/>
      <c r="G44" s="24"/>
    </row>
    <row r="46" customFormat="false" ht="15" hidden="false" customHeight="false" outlineLevel="0" collapsed="false">
      <c r="B46" s="11" t="s">
        <v>82</v>
      </c>
      <c r="C46" s="12"/>
      <c r="D46" s="12"/>
      <c r="E46" s="12"/>
      <c r="F46" s="12"/>
    </row>
    <row r="47" customFormat="false" ht="15" hidden="false" customHeight="false" outlineLevel="0" collapsed="false">
      <c r="B47" s="3" t="s">
        <v>83</v>
      </c>
      <c r="C47" s="3" t="s">
        <v>84</v>
      </c>
      <c r="D47" s="3" t="s">
        <v>85</v>
      </c>
      <c r="E47" s="3" t="s">
        <v>86</v>
      </c>
      <c r="F47" s="3"/>
      <c r="G47" s="3" t="s">
        <v>87</v>
      </c>
    </row>
    <row r="48" customFormat="false" ht="15" hidden="false" customHeight="false" outlineLevel="0" collapsed="false">
      <c r="B48" s="13" t="s">
        <v>88</v>
      </c>
      <c r="C48" s="21" t="n">
        <f aca="false">Base!$E$12</f>
        <v>8449.8693</v>
      </c>
      <c r="D48" s="21" t="n">
        <f aca="false">'Market Data'!$C$17</f>
        <v>8400</v>
      </c>
      <c r="E48" s="21" t="n">
        <f aca="false">'Market Data'!$D$17</f>
        <v>8500</v>
      </c>
      <c r="G48" s="13" t="str">
        <f aca="false">IF(AND(C48&gt;=D48,C48&lt;=E48),"Inside guidance",IF(AND(C48&gt;=D48*0.99,C48&lt;=E48*1.01),"Within 1% of guidance","Off guidance"))</f>
        <v>Inside guidance</v>
      </c>
    </row>
    <row r="49" customFormat="false" ht="15" hidden="false" customHeight="false" outlineLevel="0" collapsed="false">
      <c r="B49" s="13" t="s">
        <v>89</v>
      </c>
      <c r="C49" s="14" t="n">
        <f aca="false">Base!$E$28</f>
        <v>7.92667741972832</v>
      </c>
      <c r="D49" s="14" t="n">
        <f aca="false">'Market Data'!$C$18</f>
        <v>7.8</v>
      </c>
      <c r="E49" s="14" t="n">
        <f aca="false">'Market Data'!$D$18</f>
        <v>7.9</v>
      </c>
      <c r="G49" s="13" t="str">
        <f aca="false">IF(AND(C49&gt;=D49,C49&lt;=E49),"Inside guidance",IF(AND(C49&gt;=D49*0.99,C49&lt;=E49*1.01),"Within 1% of guidance","Off guidance"))</f>
        <v>Within 1% of guidance</v>
      </c>
    </row>
    <row r="50" customFormat="false" ht="15" hidden="false" customHeight="false" outlineLevel="0" collapsed="false">
      <c r="B50" s="13" t="s">
        <v>90</v>
      </c>
      <c r="C50" s="21" t="n">
        <f aca="false">Base!$E$60</f>
        <v>1652.55411660704</v>
      </c>
      <c r="D50" s="21" t="n">
        <f aca="false">'Market Data'!$C$20*0.95</f>
        <v>1615</v>
      </c>
      <c r="E50" s="21" t="n">
        <f aca="false">'Market Data'!$D$20</f>
        <v>1700</v>
      </c>
      <c r="G50" s="13" t="str">
        <f aca="false">IF(AND(C50&gt;=D50,C50&lt;=E50),"Inside guidance",IF(AND(C50&gt;=D50*0.99,C50&lt;=E50*1.01),"Within 1% of guidance","Off guidance"))</f>
        <v>Inside guidance</v>
      </c>
    </row>
    <row r="51" customFormat="false" ht="15" hidden="false" customHeight="false" outlineLevel="0" collapsed="false">
      <c r="B51" s="13" t="s">
        <v>91</v>
      </c>
      <c r="G51" s="13" t="str">
        <f aca="false">IF(SUMPRODUCT(ABS(Base!$E$50:$I$50))+SUMPRODUCT(ABS(Bull!$E$50:$I$50))+SUMPRODUCT(ABS(Bear!$E$50:$I$50))+SUMPRODUCT(ABS('Priced In'!$E$50:$I$50))&lt;0.01,"Yes","No")</f>
        <v>Yes</v>
      </c>
    </row>
    <row r="52" customFormat="false" ht="15" hidden="false" customHeight="false" outlineLevel="0" collapsed="false">
      <c r="B52" s="13" t="s">
        <v>92</v>
      </c>
      <c r="G52" s="13" t="str">
        <f aca="false">IF(ABS(Sensitivity!$E$11-Base!$D$97)&lt;0.005,"Yes","No")</f>
        <v>Yes</v>
      </c>
    </row>
    <row r="53" customFormat="false" ht="15" hidden="false" customHeight="false" outlineLevel="0" collapsed="false">
      <c r="B53" s="22" t="s">
        <v>93</v>
      </c>
      <c r="C53" s="25" t="n">
        <f aca="false">'Priced In'!$D$97</f>
        <v>115.748467464357</v>
      </c>
      <c r="D53" s="25" t="n">
        <f aca="false">Inputs!$C$53</f>
        <v>115.82</v>
      </c>
      <c r="E53" s="24"/>
      <c r="F53" s="24"/>
      <c r="G53" s="22" t="str">
        <f aca="false">IF(ABS(C53/D53-1)&lt;0.02,"Within 2% of price","Re-solve the Priced In growth")</f>
        <v>Within 2% of price</v>
      </c>
    </row>
  </sheetData>
  <dataValidations count="1">
    <dataValidation allowBlank="false" errorStyle="stop" operator="between" showDropDown="false" showErrorMessage="false" showInputMessage="false" sqref="C16" type="list">
      <formula1>"Base,Bull,Bear,Priced 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8"/>
    <col collapsed="false" customWidth="true" hidden="false" outlineLevel="0" max="7" min="3" style="0" width="13"/>
    <col collapsed="false" customWidth="true" hidden="false" outlineLevel="0" max="8" min="8" style="0" width="10"/>
    <col collapsed="false" customWidth="true" hidden="false" outlineLevel="0" max="9" min="9" style="0" width="84"/>
  </cols>
  <sheetData>
    <row r="2" customFormat="false" ht="15" hidden="false" customHeight="false" outlineLevel="0" collapsed="false">
      <c r="B2" s="8" t="s">
        <v>94</v>
      </c>
      <c r="C2" s="9"/>
      <c r="D2" s="9"/>
      <c r="E2" s="9"/>
      <c r="F2" s="9"/>
      <c r="G2" s="9"/>
      <c r="H2" s="9"/>
      <c r="I2" s="9"/>
    </row>
    <row r="3" customFormat="false" ht="15" hidden="false" customHeight="false" outlineLevel="0" collapsed="false">
      <c r="B3" s="10" t="s">
        <v>95</v>
      </c>
    </row>
    <row r="5" customFormat="false" ht="15" hidden="false" customHeight="false" outlineLevel="0" collapsed="false">
      <c r="B5" s="11" t="s">
        <v>96</v>
      </c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B6" s="10" t="s">
        <v>97</v>
      </c>
    </row>
    <row r="7" customFormat="false" ht="15" hidden="false" customHeight="false" outlineLevel="0" collapsed="false">
      <c r="B7" s="3" t="s">
        <v>98</v>
      </c>
      <c r="C7" s="3" t="s">
        <v>99</v>
      </c>
      <c r="D7" s="3" t="s">
        <v>100</v>
      </c>
      <c r="E7" s="3" t="s">
        <v>101</v>
      </c>
      <c r="F7" s="3" t="s">
        <v>102</v>
      </c>
      <c r="G7" s="3" t="s">
        <v>103</v>
      </c>
      <c r="H7" s="3" t="s">
        <v>104</v>
      </c>
      <c r="I7" s="3" t="s">
        <v>105</v>
      </c>
    </row>
    <row r="8" customFormat="false" ht="15" hidden="false" customHeight="false" outlineLevel="0" collapsed="false">
      <c r="B8" s="13" t="s">
        <v>50</v>
      </c>
      <c r="C8" s="17" t="n">
        <v>0.079</v>
      </c>
      <c r="D8" s="17" t="n">
        <v>0.055</v>
      </c>
      <c r="E8" s="17" t="n">
        <v>0.05</v>
      </c>
      <c r="F8" s="17" t="n">
        <v>0.045</v>
      </c>
      <c r="G8" s="17" t="n">
        <v>0.04</v>
      </c>
      <c r="H8" s="13" t="s">
        <v>106</v>
      </c>
      <c r="I8" s="5" t="s">
        <v>107</v>
      </c>
    </row>
    <row r="9" customFormat="false" ht="15" hidden="false" customHeight="false" outlineLevel="0" collapsed="false">
      <c r="B9" s="13" t="s">
        <v>59</v>
      </c>
      <c r="C9" s="17" t="n">
        <v>0.09</v>
      </c>
      <c r="D9" s="17" t="n">
        <v>0.09</v>
      </c>
      <c r="E9" s="17" t="n">
        <v>0.08</v>
      </c>
      <c r="F9" s="17" t="n">
        <v>0.07</v>
      </c>
      <c r="G9" s="17" t="n">
        <v>0.06</v>
      </c>
      <c r="H9" s="13" t="s">
        <v>106</v>
      </c>
      <c r="I9" s="5" t="s">
        <v>108</v>
      </c>
    </row>
    <row r="10" customFormat="false" ht="15" hidden="false" customHeight="false" outlineLevel="0" collapsed="false">
      <c r="B10" s="13" t="s">
        <v>60</v>
      </c>
      <c r="C10" s="17" t="n">
        <v>0.06</v>
      </c>
      <c r="D10" s="17" t="n">
        <v>0</v>
      </c>
      <c r="E10" s="17" t="n">
        <v>-0.02</v>
      </c>
      <c r="F10" s="17" t="n">
        <v>0.01</v>
      </c>
      <c r="G10" s="17" t="n">
        <v>0.02</v>
      </c>
      <c r="H10" s="13" t="s">
        <v>106</v>
      </c>
      <c r="I10" s="5" t="s">
        <v>109</v>
      </c>
    </row>
    <row r="11" customFormat="false" ht="28.35" hidden="false" customHeight="false" outlineLevel="0" collapsed="false">
      <c r="B11" s="22" t="s">
        <v>61</v>
      </c>
      <c r="C11" s="20" t="n">
        <v>0.079</v>
      </c>
      <c r="D11" s="20" t="n">
        <v>0.079</v>
      </c>
      <c r="E11" s="20" t="n">
        <v>0.079</v>
      </c>
      <c r="F11" s="20" t="n">
        <v>0.079</v>
      </c>
      <c r="G11" s="20" t="n">
        <v>0.079</v>
      </c>
      <c r="H11" s="22" t="s">
        <v>106</v>
      </c>
      <c r="I11" s="7" t="s">
        <v>110</v>
      </c>
    </row>
    <row r="13" customFormat="false" ht="15" hidden="false" customHeight="false" outlineLevel="0" collapsed="false">
      <c r="B13" s="3" t="s">
        <v>111</v>
      </c>
      <c r="C13" s="3" t="s">
        <v>99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104</v>
      </c>
      <c r="I13" s="3" t="s">
        <v>105</v>
      </c>
    </row>
    <row r="14" customFormat="false" ht="15" hidden="false" customHeight="false" outlineLevel="0" collapsed="false">
      <c r="B14" s="13" t="s">
        <v>50</v>
      </c>
      <c r="C14" s="17" t="n">
        <v>-0.08</v>
      </c>
      <c r="D14" s="17" t="n">
        <v>-0.03</v>
      </c>
      <c r="E14" s="17" t="n">
        <v>0</v>
      </c>
      <c r="F14" s="17" t="n">
        <v>0.01</v>
      </c>
      <c r="G14" s="17" t="n">
        <v>0.02</v>
      </c>
      <c r="H14" s="13" t="s">
        <v>106</v>
      </c>
      <c r="I14" s="5" t="s">
        <v>112</v>
      </c>
    </row>
    <row r="15" customFormat="false" ht="15" hidden="false" customHeight="false" outlineLevel="0" collapsed="false">
      <c r="B15" s="13" t="s">
        <v>59</v>
      </c>
      <c r="C15" s="17" t="n">
        <v>-0.06</v>
      </c>
      <c r="D15" s="17" t="n">
        <v>0</v>
      </c>
      <c r="E15" s="17" t="n">
        <v>0.02</v>
      </c>
      <c r="F15" s="17" t="n">
        <v>0.03</v>
      </c>
      <c r="G15" s="17" t="n">
        <v>0.03</v>
      </c>
      <c r="H15" s="13" t="s">
        <v>106</v>
      </c>
      <c r="I15" s="5"/>
    </row>
    <row r="16" customFormat="false" ht="15" hidden="false" customHeight="false" outlineLevel="0" collapsed="false">
      <c r="B16" s="13" t="s">
        <v>60</v>
      </c>
      <c r="C16" s="17" t="n">
        <v>-0.1</v>
      </c>
      <c r="D16" s="17" t="n">
        <v>-0.06</v>
      </c>
      <c r="E16" s="17" t="n">
        <v>-0.03</v>
      </c>
      <c r="F16" s="17" t="n">
        <v>0</v>
      </c>
      <c r="G16" s="17" t="n">
        <v>0.01</v>
      </c>
      <c r="H16" s="13" t="s">
        <v>106</v>
      </c>
      <c r="I16" s="5"/>
    </row>
    <row r="17" customFormat="false" ht="15" hidden="false" customHeight="false" outlineLevel="0" collapsed="false">
      <c r="B17" s="22" t="s">
        <v>61</v>
      </c>
      <c r="C17" s="20" t="n">
        <v>-0.08</v>
      </c>
      <c r="D17" s="20" t="n">
        <v>-0.03</v>
      </c>
      <c r="E17" s="20" t="n">
        <v>0</v>
      </c>
      <c r="F17" s="20" t="n">
        <v>0.01</v>
      </c>
      <c r="G17" s="20" t="n">
        <v>0.02</v>
      </c>
      <c r="H17" s="22" t="s">
        <v>106</v>
      </c>
      <c r="I17" s="7" t="s">
        <v>113</v>
      </c>
    </row>
    <row r="19" customFormat="false" ht="15" hidden="false" customHeight="false" outlineLevel="0" collapsed="false">
      <c r="B19" s="3" t="s">
        <v>114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3" t="s">
        <v>104</v>
      </c>
      <c r="I19" s="3" t="s">
        <v>105</v>
      </c>
    </row>
    <row r="20" customFormat="false" ht="15" hidden="false" customHeight="false" outlineLevel="0" collapsed="false">
      <c r="B20" s="13" t="s">
        <v>50</v>
      </c>
      <c r="C20" s="17" t="n">
        <v>0.768</v>
      </c>
      <c r="D20" s="17" t="n">
        <v>0.77</v>
      </c>
      <c r="E20" s="17" t="n">
        <v>0.771</v>
      </c>
      <c r="F20" s="17" t="n">
        <v>0.772</v>
      </c>
      <c r="G20" s="17" t="n">
        <v>0.772</v>
      </c>
      <c r="H20" s="13" t="s">
        <v>106</v>
      </c>
      <c r="I20" s="5" t="s">
        <v>115</v>
      </c>
    </row>
    <row r="21" customFormat="false" ht="15" hidden="false" customHeight="false" outlineLevel="0" collapsed="false">
      <c r="B21" s="13" t="s">
        <v>59</v>
      </c>
      <c r="C21" s="17" t="n">
        <v>0.77</v>
      </c>
      <c r="D21" s="17" t="n">
        <v>0.775</v>
      </c>
      <c r="E21" s="17" t="n">
        <v>0.778</v>
      </c>
      <c r="F21" s="17" t="n">
        <v>0.78</v>
      </c>
      <c r="G21" s="17" t="n">
        <v>0.78</v>
      </c>
      <c r="H21" s="13" t="s">
        <v>106</v>
      </c>
      <c r="I21" s="5"/>
    </row>
    <row r="22" customFormat="false" ht="15" hidden="false" customHeight="false" outlineLevel="0" collapsed="false">
      <c r="B22" s="13" t="s">
        <v>60</v>
      </c>
      <c r="C22" s="17" t="n">
        <v>0.765</v>
      </c>
      <c r="D22" s="17" t="n">
        <v>0.76</v>
      </c>
      <c r="E22" s="17" t="n">
        <v>0.755</v>
      </c>
      <c r="F22" s="17" t="n">
        <v>0.755</v>
      </c>
      <c r="G22" s="17" t="n">
        <v>0.755</v>
      </c>
      <c r="H22" s="13" t="s">
        <v>106</v>
      </c>
      <c r="I22" s="5" t="s">
        <v>116</v>
      </c>
    </row>
    <row r="23" customFormat="false" ht="15" hidden="false" customHeight="false" outlineLevel="0" collapsed="false">
      <c r="B23" s="22" t="s">
        <v>61</v>
      </c>
      <c r="C23" s="20" t="n">
        <v>0.768</v>
      </c>
      <c r="D23" s="20" t="n">
        <v>0.77</v>
      </c>
      <c r="E23" s="20" t="n">
        <v>0.771</v>
      </c>
      <c r="F23" s="20" t="n">
        <v>0.772</v>
      </c>
      <c r="G23" s="20" t="n">
        <v>0.772</v>
      </c>
      <c r="H23" s="22" t="s">
        <v>106</v>
      </c>
      <c r="I23" s="7" t="s">
        <v>113</v>
      </c>
    </row>
    <row r="25" customFormat="false" ht="15" hidden="false" customHeight="false" outlineLevel="0" collapsed="false">
      <c r="B25" s="3" t="s">
        <v>117</v>
      </c>
      <c r="C25" s="3" t="s">
        <v>99</v>
      </c>
      <c r="D25" s="3" t="s">
        <v>100</v>
      </c>
      <c r="E25" s="3" t="s">
        <v>101</v>
      </c>
      <c r="F25" s="3" t="s">
        <v>102</v>
      </c>
      <c r="G25" s="3" t="s">
        <v>103</v>
      </c>
      <c r="H25" s="3" t="s">
        <v>104</v>
      </c>
      <c r="I25" s="3" t="s">
        <v>105</v>
      </c>
    </row>
    <row r="26" customFormat="false" ht="15" hidden="false" customHeight="false" outlineLevel="0" collapsed="false">
      <c r="B26" s="13" t="s">
        <v>50</v>
      </c>
      <c r="C26" s="17" t="n">
        <v>0.2385</v>
      </c>
      <c r="D26" s="17" t="n">
        <v>0.242</v>
      </c>
      <c r="E26" s="17" t="n">
        <v>0.244</v>
      </c>
      <c r="F26" s="17" t="n">
        <v>0.245</v>
      </c>
      <c r="G26" s="17" t="n">
        <v>0.245</v>
      </c>
      <c r="H26" s="13" t="s">
        <v>106</v>
      </c>
      <c r="I26" s="5" t="s">
        <v>118</v>
      </c>
    </row>
    <row r="27" customFormat="false" ht="15" hidden="false" customHeight="false" outlineLevel="0" collapsed="false">
      <c r="B27" s="13" t="s">
        <v>59</v>
      </c>
      <c r="C27" s="17" t="n">
        <v>0.24</v>
      </c>
      <c r="D27" s="17" t="n">
        <v>0.25</v>
      </c>
      <c r="E27" s="17" t="n">
        <v>0.255</v>
      </c>
      <c r="F27" s="17" t="n">
        <v>0.26</v>
      </c>
      <c r="G27" s="17" t="n">
        <v>0.26</v>
      </c>
      <c r="H27" s="13" t="s">
        <v>106</v>
      </c>
      <c r="I27" s="5"/>
    </row>
    <row r="28" customFormat="false" ht="15" hidden="false" customHeight="false" outlineLevel="0" collapsed="false">
      <c r="B28" s="13" t="s">
        <v>60</v>
      </c>
      <c r="C28" s="17" t="n">
        <v>0.235</v>
      </c>
      <c r="D28" s="17" t="n">
        <v>0.22</v>
      </c>
      <c r="E28" s="17" t="n">
        <v>0.21</v>
      </c>
      <c r="F28" s="17" t="n">
        <v>0.205</v>
      </c>
      <c r="G28" s="17" t="n">
        <v>0.205</v>
      </c>
      <c r="H28" s="13" t="s">
        <v>106</v>
      </c>
      <c r="I28" s="5" t="s">
        <v>119</v>
      </c>
    </row>
    <row r="29" customFormat="false" ht="15" hidden="false" customHeight="false" outlineLevel="0" collapsed="false">
      <c r="B29" s="22" t="s">
        <v>61</v>
      </c>
      <c r="C29" s="20" t="n">
        <v>0.2385</v>
      </c>
      <c r="D29" s="20" t="n">
        <v>0.242</v>
      </c>
      <c r="E29" s="20" t="n">
        <v>0.244</v>
      </c>
      <c r="F29" s="20" t="n">
        <v>0.245</v>
      </c>
      <c r="G29" s="20" t="n">
        <v>0.245</v>
      </c>
      <c r="H29" s="22" t="s">
        <v>106</v>
      </c>
      <c r="I29" s="7" t="s">
        <v>113</v>
      </c>
    </row>
    <row r="31" customFormat="false" ht="15" hidden="false" customHeight="false" outlineLevel="0" collapsed="false">
      <c r="B31" s="11" t="s">
        <v>120</v>
      </c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B32" s="3" t="s">
        <v>121</v>
      </c>
      <c r="C32" s="3" t="s">
        <v>40</v>
      </c>
      <c r="D32" s="3"/>
      <c r="E32" s="3"/>
      <c r="F32" s="3"/>
      <c r="G32" s="3"/>
      <c r="H32" s="3" t="s">
        <v>104</v>
      </c>
      <c r="I32" s="3" t="s">
        <v>105</v>
      </c>
    </row>
    <row r="33" customFormat="false" ht="15" hidden="false" customHeight="false" outlineLevel="0" collapsed="false">
      <c r="B33" s="13" t="s">
        <v>122</v>
      </c>
      <c r="C33" s="17" t="n">
        <f aca="false">ROUND(Historicals!$E$32/(Historicals!$E$29-Historicals!$E$30-Historicals!$E$31),3)</f>
        <v>0.182</v>
      </c>
      <c r="H33" s="13" t="s">
        <v>106</v>
      </c>
      <c r="I33" s="5" t="s">
        <v>123</v>
      </c>
    </row>
    <row r="34" customFormat="false" ht="15" hidden="false" customHeight="false" outlineLevel="0" collapsed="false">
      <c r="B34" s="13" t="s">
        <v>124</v>
      </c>
      <c r="C34" s="17" t="n">
        <f aca="false">ROUND((Historicals!$E$90+Historicals!$E$91)/Historicals!$E$26,3)</f>
        <v>0.027</v>
      </c>
      <c r="H34" s="13" t="s">
        <v>125</v>
      </c>
      <c r="I34" s="5" t="s">
        <v>126</v>
      </c>
    </row>
    <row r="35" customFormat="false" ht="15" hidden="false" customHeight="false" outlineLevel="0" collapsed="false">
      <c r="B35" s="13" t="s">
        <v>127</v>
      </c>
      <c r="C35" s="21" t="n">
        <f aca="false">'Market Data'!$C$21</f>
        <v>300</v>
      </c>
      <c r="H35" s="13" t="s">
        <v>128</v>
      </c>
      <c r="I35" s="5" t="s">
        <v>129</v>
      </c>
    </row>
    <row r="36" customFormat="false" ht="15" hidden="false" customHeight="false" outlineLevel="0" collapsed="false">
      <c r="B36" s="13" t="s">
        <v>130</v>
      </c>
      <c r="C36" s="17" t="n">
        <v>0.033</v>
      </c>
      <c r="H36" s="13" t="s">
        <v>125</v>
      </c>
      <c r="I36" s="5" t="s">
        <v>131</v>
      </c>
    </row>
    <row r="37" customFormat="false" ht="15" hidden="false" customHeight="false" outlineLevel="0" collapsed="false">
      <c r="B37" s="13" t="s">
        <v>132</v>
      </c>
      <c r="C37" s="26" t="n">
        <f aca="false">ROUND(Historicals!$E$66/Historicals!$E$7*365,1)</f>
        <v>10.8</v>
      </c>
      <c r="H37" s="13" t="s">
        <v>133</v>
      </c>
      <c r="I37" s="5" t="s">
        <v>134</v>
      </c>
    </row>
    <row r="38" customFormat="false" ht="15" hidden="false" customHeight="false" outlineLevel="0" collapsed="false">
      <c r="B38" s="13" t="s">
        <v>135</v>
      </c>
      <c r="C38" s="26" t="n">
        <f aca="false">ROUND(Historicals!$E$67/(Historicals!$E$26-Historicals!$E$27)*365,1)</f>
        <v>161.6</v>
      </c>
      <c r="H38" s="13" t="s">
        <v>133</v>
      </c>
      <c r="I38" s="5" t="s">
        <v>136</v>
      </c>
    </row>
    <row r="39" customFormat="false" ht="15" hidden="false" customHeight="false" outlineLevel="0" collapsed="false">
      <c r="B39" s="13" t="s">
        <v>137</v>
      </c>
      <c r="C39" s="26" t="n">
        <f aca="false">ROUND(Historicals!$E$75/(Historicals!$E$26-Historicals!$E$27)*365,1)</f>
        <v>113.9</v>
      </c>
      <c r="H39" s="13" t="s">
        <v>133</v>
      </c>
      <c r="I39" s="5" t="s">
        <v>134</v>
      </c>
    </row>
    <row r="40" customFormat="false" ht="15" hidden="false" customHeight="false" outlineLevel="0" collapsed="false">
      <c r="B40" s="13" t="s">
        <v>138</v>
      </c>
      <c r="C40" s="27" t="n">
        <f aca="false">ROUND(Historicals!$E$76/Historicals!$E$26,4)</f>
        <v>0.0945</v>
      </c>
      <c r="H40" s="13" t="s">
        <v>125</v>
      </c>
      <c r="I40" s="5" t="s">
        <v>134</v>
      </c>
    </row>
    <row r="41" customFormat="false" ht="15" hidden="false" customHeight="false" outlineLevel="0" collapsed="false">
      <c r="B41" s="13" t="s">
        <v>139</v>
      </c>
      <c r="C41" s="27" t="n">
        <f aca="false">ROUND(Historicals!$E$92/Historicals!$E$7,4)</f>
        <v>0.0131</v>
      </c>
      <c r="H41" s="13" t="s">
        <v>125</v>
      </c>
      <c r="I41" s="5" t="s">
        <v>140</v>
      </c>
    </row>
    <row r="42" customFormat="false" ht="15" hidden="false" customHeight="false" outlineLevel="0" collapsed="false">
      <c r="B42" s="13" t="s">
        <v>141</v>
      </c>
      <c r="C42" s="14" t="n">
        <f aca="false">'Market Data'!$C$23</f>
        <v>1.85</v>
      </c>
      <c r="H42" s="13" t="s">
        <v>142</v>
      </c>
      <c r="I42" s="5" t="s">
        <v>143</v>
      </c>
    </row>
    <row r="43" customFormat="false" ht="15" hidden="false" customHeight="false" outlineLevel="0" collapsed="false">
      <c r="B43" s="13" t="s">
        <v>144</v>
      </c>
      <c r="C43" s="17" t="n">
        <v>0.08</v>
      </c>
      <c r="H43" s="13" t="s">
        <v>106</v>
      </c>
      <c r="I43" s="5" t="s">
        <v>145</v>
      </c>
    </row>
    <row r="44" customFormat="false" ht="15" hidden="false" customHeight="false" outlineLevel="0" collapsed="false">
      <c r="B44" s="13" t="s">
        <v>146</v>
      </c>
      <c r="C44" s="21" t="n">
        <f aca="false">'Market Data'!$C$22</f>
        <v>1350</v>
      </c>
      <c r="H44" s="13" t="s">
        <v>128</v>
      </c>
      <c r="I44" s="5" t="s">
        <v>129</v>
      </c>
    </row>
    <row r="45" customFormat="false" ht="15" hidden="false" customHeight="false" outlineLevel="0" collapsed="false">
      <c r="B45" s="13" t="s">
        <v>147</v>
      </c>
      <c r="C45" s="13" t="s">
        <v>148</v>
      </c>
      <c r="H45" s="13"/>
      <c r="I45" s="5" t="s">
        <v>149</v>
      </c>
    </row>
    <row r="46" customFormat="false" ht="15" hidden="false" customHeight="false" outlineLevel="0" collapsed="false">
      <c r="B46" s="13" t="s">
        <v>150</v>
      </c>
      <c r="C46" s="17" t="n">
        <v>0.09</v>
      </c>
      <c r="H46" s="13" t="s">
        <v>151</v>
      </c>
      <c r="I46" s="5" t="s">
        <v>152</v>
      </c>
    </row>
    <row r="47" customFormat="false" ht="15" hidden="false" customHeight="false" outlineLevel="0" collapsed="false">
      <c r="B47" s="13" t="s">
        <v>153</v>
      </c>
      <c r="C47" s="17" t="n">
        <v>0.015</v>
      </c>
      <c r="H47" s="13" t="s">
        <v>151</v>
      </c>
      <c r="I47" s="5" t="s">
        <v>154</v>
      </c>
    </row>
    <row r="48" customFormat="false" ht="15" hidden="false" customHeight="false" outlineLevel="0" collapsed="false">
      <c r="B48" s="13" t="s">
        <v>155</v>
      </c>
      <c r="C48" s="17" t="n">
        <v>0.04</v>
      </c>
      <c r="H48" s="13" t="s">
        <v>106</v>
      </c>
      <c r="I48" s="5" t="s">
        <v>156</v>
      </c>
    </row>
    <row r="49" customFormat="false" ht="15" hidden="false" customHeight="false" outlineLevel="0" collapsed="false">
      <c r="B49" s="22" t="s">
        <v>157</v>
      </c>
      <c r="C49" s="20" t="n">
        <v>0.03</v>
      </c>
      <c r="D49" s="24"/>
      <c r="E49" s="24"/>
      <c r="F49" s="24"/>
      <c r="G49" s="24"/>
      <c r="H49" s="22" t="s">
        <v>106</v>
      </c>
      <c r="I49" s="7" t="s">
        <v>158</v>
      </c>
    </row>
    <row r="51" customFormat="false" ht="15" hidden="false" customHeight="false" outlineLevel="0" collapsed="false">
      <c r="B51" s="11" t="s">
        <v>159</v>
      </c>
      <c r="C51" s="12"/>
      <c r="D51" s="12"/>
      <c r="E51" s="12"/>
      <c r="F51" s="12"/>
      <c r="G51" s="12"/>
      <c r="H51" s="12"/>
      <c r="I51" s="12"/>
    </row>
    <row r="52" customFormat="false" ht="15" hidden="false" customHeight="false" outlineLevel="0" collapsed="false">
      <c r="B52" s="3" t="s">
        <v>160</v>
      </c>
      <c r="C52" s="3" t="s">
        <v>40</v>
      </c>
      <c r="D52" s="3"/>
      <c r="E52" s="3"/>
      <c r="F52" s="3"/>
      <c r="G52" s="3"/>
      <c r="H52" s="3" t="s">
        <v>104</v>
      </c>
      <c r="I52" s="3" t="s">
        <v>105</v>
      </c>
    </row>
    <row r="53" customFormat="false" ht="15" hidden="false" customHeight="false" outlineLevel="0" collapsed="false">
      <c r="B53" s="13" t="s">
        <v>161</v>
      </c>
      <c r="C53" s="14" t="n">
        <f aca="false">'Market Data'!$C$7</f>
        <v>115.82</v>
      </c>
      <c r="H53" s="13" t="s">
        <v>142</v>
      </c>
      <c r="I53" s="5" t="s">
        <v>162</v>
      </c>
    </row>
    <row r="54" customFormat="false" ht="15" hidden="false" customHeight="false" outlineLevel="0" collapsed="false">
      <c r="B54" s="13" t="s">
        <v>163</v>
      </c>
      <c r="C54" s="28" t="n">
        <v>46303</v>
      </c>
      <c r="H54" s="13"/>
      <c r="I54" s="5"/>
    </row>
    <row r="55" customFormat="false" ht="15" hidden="false" customHeight="false" outlineLevel="0" collapsed="false">
      <c r="B55" s="13" t="s">
        <v>164</v>
      </c>
      <c r="C55" s="28" t="n">
        <v>46571</v>
      </c>
      <c r="H55" s="13"/>
      <c r="I55" s="5" t="s">
        <v>165</v>
      </c>
    </row>
    <row r="56" customFormat="false" ht="15" hidden="false" customHeight="false" outlineLevel="0" collapsed="false">
      <c r="B56" s="13" t="s">
        <v>166</v>
      </c>
      <c r="C56" s="26" t="n">
        <f aca="false">Historicals!$C$105</f>
        <v>199.391678</v>
      </c>
      <c r="H56" s="13" t="s">
        <v>167</v>
      </c>
      <c r="I56" s="5" t="s">
        <v>168</v>
      </c>
    </row>
    <row r="57" customFormat="false" ht="15" hidden="false" customHeight="false" outlineLevel="0" collapsed="false">
      <c r="B57" s="13" t="s">
        <v>169</v>
      </c>
      <c r="C57" s="26" t="n">
        <f aca="false">Historicals!$C$106</f>
        <v>6.2</v>
      </c>
      <c r="H57" s="13" t="s">
        <v>167</v>
      </c>
      <c r="I57" s="5" t="s">
        <v>170</v>
      </c>
    </row>
    <row r="58" customFormat="false" ht="15" hidden="false" customHeight="false" outlineLevel="0" collapsed="false">
      <c r="B58" s="13" t="s">
        <v>171</v>
      </c>
      <c r="C58" s="27" t="n">
        <f aca="false">'Market Data'!$C$27</f>
        <v>0.0528</v>
      </c>
      <c r="H58" s="13" t="s">
        <v>106</v>
      </c>
      <c r="I58" s="5" t="s">
        <v>172</v>
      </c>
    </row>
    <row r="59" customFormat="false" ht="15" hidden="false" customHeight="false" outlineLevel="0" collapsed="false">
      <c r="B59" s="13" t="s">
        <v>173</v>
      </c>
      <c r="C59" s="29" t="n">
        <f aca="false">'Market Data'!$C$10</f>
        <v>1.43</v>
      </c>
      <c r="H59" s="13" t="s">
        <v>174</v>
      </c>
      <c r="I59" s="5" t="s">
        <v>175</v>
      </c>
    </row>
    <row r="60" customFormat="false" ht="15" hidden="false" customHeight="false" outlineLevel="0" collapsed="false">
      <c r="B60" s="13" t="s">
        <v>176</v>
      </c>
      <c r="C60" s="27" t="n">
        <f aca="false">'Market Data'!$C$30</f>
        <v>0.0423</v>
      </c>
      <c r="H60" s="13" t="s">
        <v>106</v>
      </c>
      <c r="I60" s="5" t="s">
        <v>177</v>
      </c>
    </row>
    <row r="61" customFormat="false" ht="15" hidden="false" customHeight="false" outlineLevel="0" collapsed="false">
      <c r="B61" s="22" t="s">
        <v>178</v>
      </c>
      <c r="C61" s="20" t="n">
        <v>0.21</v>
      </c>
      <c r="D61" s="24"/>
      <c r="E61" s="24"/>
      <c r="F61" s="24"/>
      <c r="G61" s="24"/>
      <c r="H61" s="22" t="s">
        <v>106</v>
      </c>
      <c r="I61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9" min="4" style="0" width="13"/>
    <col collapsed="false" customWidth="true" hidden="false" outlineLevel="0" max="10" min="10" style="0" width="50"/>
  </cols>
  <sheetData>
    <row r="2" customFormat="false" ht="15" hidden="false" customHeight="false" outlineLevel="0" collapsed="false">
      <c r="B2" s="8" t="s">
        <v>180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B3" s="10" t="s">
        <v>181</v>
      </c>
    </row>
    <row r="5" customFormat="false" ht="15" hidden="false" customHeight="false" outlineLevel="0" collapsed="false">
      <c r="B5" s="11" t="s">
        <v>182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B6" s="10" t="s">
        <v>183</v>
      </c>
    </row>
    <row r="7" customFormat="false" ht="15" hidden="false" customHeight="false" outlineLevel="0" collapsed="false">
      <c r="B7" s="3" t="s">
        <v>184</v>
      </c>
      <c r="C7" s="3" t="s">
        <v>104</v>
      </c>
      <c r="D7" s="3" t="s">
        <v>185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69</v>
      </c>
    </row>
    <row r="8" customFormat="false" ht="15" hidden="false" customHeight="false" outlineLevel="0" collapsed="false">
      <c r="B8" s="13" t="s">
        <v>186</v>
      </c>
      <c r="C8" s="13" t="s">
        <v>128</v>
      </c>
      <c r="D8" s="21" t="n">
        <f aca="false">Historicals!$E$38</f>
        <v>6914.7</v>
      </c>
      <c r="E8" s="21" t="n">
        <f aca="false">D8*(1+Inputs!$C$8)</f>
        <v>7460.9613</v>
      </c>
      <c r="F8" s="21" t="n">
        <f aca="false">E8*(1+Inputs!$D$8)</f>
        <v>7871.3141715</v>
      </c>
      <c r="G8" s="21" t="n">
        <f aca="false">F8*(1+Inputs!$E$8)</f>
        <v>8264.879880075</v>
      </c>
      <c r="H8" s="21" t="n">
        <f aca="false">G8*(1+Inputs!$F$8)</f>
        <v>8636.79947467837</v>
      </c>
      <c r="I8" s="21" t="n">
        <f aca="false">H8*(1+Inputs!$G$8)</f>
        <v>8982.27145366551</v>
      </c>
    </row>
    <row r="9" customFormat="false" ht="15" hidden="false" customHeight="false" outlineLevel="0" collapsed="false">
      <c r="B9" s="13" t="s">
        <v>187</v>
      </c>
      <c r="C9" s="13" t="s">
        <v>106</v>
      </c>
      <c r="D9" s="17" t="n">
        <f aca="false">Historicals!$E$38/Historicals!$D$38-1</f>
        <v>0.235098687148343</v>
      </c>
      <c r="E9" s="17" t="n">
        <f aca="false">E8/D8-1</f>
        <v>0.079</v>
      </c>
      <c r="F9" s="17" t="n">
        <f aca="false">F8/E8-1</f>
        <v>0.0549999999999999</v>
      </c>
      <c r="G9" s="17" t="n">
        <f aca="false">G8/F8-1</f>
        <v>0.05</v>
      </c>
      <c r="H9" s="17" t="n">
        <f aca="false">H8/G8-1</f>
        <v>0.0449999999999999</v>
      </c>
      <c r="I9" s="17" t="n">
        <f aca="false">I8/H8-1</f>
        <v>0.04</v>
      </c>
    </row>
    <row r="10" customFormat="false" ht="15" hidden="false" customHeight="false" outlineLevel="0" collapsed="false">
      <c r="B10" s="13" t="s">
        <v>188</v>
      </c>
      <c r="C10" s="13" t="s">
        <v>128</v>
      </c>
      <c r="D10" s="21" t="n">
        <f aca="false">Historicals!$E$39</f>
        <v>1074.9</v>
      </c>
      <c r="E10" s="21" t="n">
        <f aca="false">D10*(1+Inputs!$C$14)</f>
        <v>988.908</v>
      </c>
      <c r="F10" s="21" t="n">
        <f aca="false">E10*(1+Inputs!$D$14)</f>
        <v>959.24076</v>
      </c>
      <c r="G10" s="21" t="n">
        <f aca="false">F10*(1+Inputs!$E$14)</f>
        <v>959.24076</v>
      </c>
      <c r="H10" s="21" t="n">
        <f aca="false">G10*(1+Inputs!$F$14)</f>
        <v>968.8331676</v>
      </c>
      <c r="I10" s="21" t="n">
        <f aca="false">H10*(1+Inputs!$G$14)</f>
        <v>988.209830952</v>
      </c>
    </row>
    <row r="11" customFormat="false" ht="15" hidden="false" customHeight="false" outlineLevel="0" collapsed="false">
      <c r="B11" s="13" t="s">
        <v>187</v>
      </c>
      <c r="C11" s="13" t="s">
        <v>106</v>
      </c>
      <c r="D11" s="17" t="n">
        <f aca="false">Historicals!$E$39/Historicals!$D$39-1</f>
        <v>-0.102080026731267</v>
      </c>
      <c r="E11" s="17" t="n">
        <f aca="false">E10/D10-1</f>
        <v>-0.08</v>
      </c>
      <c r="F11" s="17" t="n">
        <f aca="false">F10/E10-1</f>
        <v>-0.03</v>
      </c>
      <c r="G11" s="17" t="n">
        <f aca="false">G10/F10-1</f>
        <v>0</v>
      </c>
      <c r="H11" s="17" t="n">
        <f aca="false">H10/G10-1</f>
        <v>0.01</v>
      </c>
      <c r="I11" s="17" t="n">
        <f aca="false">I10/H10-1</f>
        <v>0.02</v>
      </c>
    </row>
    <row r="12" customFormat="false" ht="15" hidden="false" customHeight="false" outlineLevel="0" collapsed="false">
      <c r="B12" s="15" t="s">
        <v>189</v>
      </c>
      <c r="C12" s="13" t="s">
        <v>128</v>
      </c>
      <c r="D12" s="30" t="n">
        <f aca="false">D8+D10</f>
        <v>7989.6</v>
      </c>
      <c r="E12" s="30" t="n">
        <f aca="false">E8+E10</f>
        <v>8449.8693</v>
      </c>
      <c r="F12" s="30" t="n">
        <f aca="false">F8+F10</f>
        <v>8830.5549315</v>
      </c>
      <c r="G12" s="30" t="n">
        <f aca="false">G8+G10</f>
        <v>9224.120640075</v>
      </c>
      <c r="H12" s="30" t="n">
        <f aca="false">H8+H10</f>
        <v>9605.63264227837</v>
      </c>
      <c r="I12" s="30" t="n">
        <f aca="false">I8+I10</f>
        <v>9970.48128461751</v>
      </c>
    </row>
    <row r="13" customFormat="false" ht="15" hidden="false" customHeight="false" outlineLevel="0" collapsed="false">
      <c r="B13" s="13" t="s">
        <v>187</v>
      </c>
      <c r="C13" s="13" t="s">
        <v>106</v>
      </c>
      <c r="E13" s="17" t="n">
        <f aca="false">E12/D12-1</f>
        <v>0.0576085536197055</v>
      </c>
      <c r="F13" s="17" t="n">
        <f aca="false">F12/E12-1</f>
        <v>0.0450522508673594</v>
      </c>
      <c r="G13" s="17" t="n">
        <f aca="false">G12/F12-1</f>
        <v>0.0445686269580963</v>
      </c>
      <c r="H13" s="17" t="n">
        <f aca="false">H12/G12-1</f>
        <v>0.0413602572093281</v>
      </c>
      <c r="I13" s="17" t="n">
        <f aca="false">I12/H12-1</f>
        <v>0.0379827811375262</v>
      </c>
    </row>
    <row r="14" customFormat="false" ht="15" hidden="false" customHeight="false" outlineLevel="0" collapsed="false">
      <c r="B14" s="13" t="s">
        <v>190</v>
      </c>
      <c r="C14" s="13" t="s">
        <v>128</v>
      </c>
      <c r="D14" s="21" t="n">
        <f aca="false">D12-D15</f>
        <v>1866.5</v>
      </c>
      <c r="E14" s="21" t="n">
        <f aca="false">E12-E15</f>
        <v>1960.3696776</v>
      </c>
      <c r="F14" s="21" t="n">
        <f aca="false">F12-F15</f>
        <v>2031.027634245</v>
      </c>
      <c r="G14" s="21" t="n">
        <f aca="false">G12-G15</f>
        <v>2112.32362657717</v>
      </c>
      <c r="H14" s="21" t="n">
        <f aca="false">H12-H15</f>
        <v>2190.08424243947</v>
      </c>
      <c r="I14" s="21" t="n">
        <f aca="false">I12-I15</f>
        <v>2273.26973289279</v>
      </c>
    </row>
    <row r="15" customFormat="false" ht="15" hidden="false" customHeight="false" outlineLevel="0" collapsed="false">
      <c r="B15" s="15" t="s">
        <v>191</v>
      </c>
      <c r="C15" s="13" t="s">
        <v>128</v>
      </c>
      <c r="D15" s="30" t="n">
        <f aca="false">Historicals!$E$27</f>
        <v>6123.1</v>
      </c>
      <c r="E15" s="30" t="n">
        <f aca="false">E12*Inputs!$C$20</f>
        <v>6489.4996224</v>
      </c>
      <c r="F15" s="30" t="n">
        <f aca="false">F12*Inputs!$D$20</f>
        <v>6799.527297255</v>
      </c>
      <c r="G15" s="30" t="n">
        <f aca="false">G12*Inputs!$E$20</f>
        <v>7111.79701349783</v>
      </c>
      <c r="H15" s="30" t="n">
        <f aca="false">H12*Inputs!$F$20</f>
        <v>7415.5483998389</v>
      </c>
      <c r="I15" s="30" t="n">
        <f aca="false">I12*Inputs!$G$20</f>
        <v>7697.21155172472</v>
      </c>
    </row>
    <row r="16" customFormat="false" ht="15" hidden="false" customHeight="false" outlineLevel="0" collapsed="false">
      <c r="B16" s="13" t="s">
        <v>192</v>
      </c>
      <c r="C16" s="13" t="s">
        <v>106</v>
      </c>
      <c r="D16" s="17" t="n">
        <f aca="false">D15/D12</f>
        <v>0.76638379893862</v>
      </c>
      <c r="E16" s="17" t="n">
        <f aca="false">E15/E12</f>
        <v>0.768</v>
      </c>
      <c r="F16" s="17" t="n">
        <f aca="false">F15/F12</f>
        <v>0.77</v>
      </c>
      <c r="G16" s="17" t="n">
        <f aca="false">G15/G12</f>
        <v>0.771</v>
      </c>
      <c r="H16" s="17" t="n">
        <f aca="false">H15/H12</f>
        <v>0.772</v>
      </c>
      <c r="I16" s="17" t="n">
        <f aca="false">I15/I12</f>
        <v>0.772</v>
      </c>
    </row>
    <row r="17" customFormat="false" ht="15" hidden="false" customHeight="false" outlineLevel="0" collapsed="false">
      <c r="B17" s="13" t="s">
        <v>193</v>
      </c>
      <c r="C17" s="13" t="s">
        <v>128</v>
      </c>
      <c r="D17" s="21" t="n">
        <f aca="false">Historicals!$E$28</f>
        <v>4257.3</v>
      </c>
      <c r="E17" s="21" t="n">
        <f aca="false">E15-E19</f>
        <v>4474.20579435</v>
      </c>
      <c r="F17" s="21" t="n">
        <f aca="false">F15-F19</f>
        <v>4662.533003832</v>
      </c>
      <c r="G17" s="21" t="n">
        <f aca="false">G15-G19</f>
        <v>4861.11157731953</v>
      </c>
      <c r="H17" s="21" t="n">
        <f aca="false">H15-H19</f>
        <v>5062.1684024807</v>
      </c>
      <c r="I17" s="21" t="n">
        <f aca="false">I15-I19</f>
        <v>5254.44363699343</v>
      </c>
    </row>
    <row r="18" customFormat="false" ht="15" hidden="false" customHeight="false" outlineLevel="0" collapsed="false">
      <c r="B18" s="13" t="s">
        <v>194</v>
      </c>
      <c r="C18" s="13" t="s">
        <v>106</v>
      </c>
      <c r="D18" s="17" t="n">
        <f aca="false">D17/D12</f>
        <v>0.532855211775308</v>
      </c>
      <c r="E18" s="17" t="n">
        <f aca="false">E17/E12</f>
        <v>0.5295</v>
      </c>
      <c r="F18" s="17" t="n">
        <f aca="false">F17/F12</f>
        <v>0.528</v>
      </c>
      <c r="G18" s="17" t="n">
        <f aca="false">G17/G12</f>
        <v>0.527</v>
      </c>
      <c r="H18" s="17" t="n">
        <f aca="false">H17/H12</f>
        <v>0.527</v>
      </c>
      <c r="I18" s="17" t="n">
        <f aca="false">I17/I12</f>
        <v>0.527</v>
      </c>
    </row>
    <row r="19" customFormat="false" ht="15" hidden="false" customHeight="false" outlineLevel="0" collapsed="false">
      <c r="B19" s="15" t="s">
        <v>195</v>
      </c>
      <c r="C19" s="13" t="s">
        <v>128</v>
      </c>
      <c r="D19" s="30" t="n">
        <f aca="false">Historicals!$E$29</f>
        <v>1865.8</v>
      </c>
      <c r="E19" s="30" t="n">
        <f aca="false">E12*Inputs!$C$26</f>
        <v>2015.29382805</v>
      </c>
      <c r="F19" s="30" t="n">
        <f aca="false">F12*Inputs!$D$26</f>
        <v>2136.994293423</v>
      </c>
      <c r="G19" s="30" t="n">
        <f aca="false">G12*Inputs!$E$26</f>
        <v>2250.6854361783</v>
      </c>
      <c r="H19" s="30" t="n">
        <f aca="false">H12*Inputs!$F$26</f>
        <v>2353.3799973582</v>
      </c>
      <c r="I19" s="30" t="n">
        <f aca="false">I12*Inputs!$G$26</f>
        <v>2442.76791473129</v>
      </c>
    </row>
    <row r="20" customFormat="false" ht="15" hidden="false" customHeight="false" outlineLevel="0" collapsed="false">
      <c r="B20" s="13" t="s">
        <v>196</v>
      </c>
      <c r="C20" s="13" t="s">
        <v>106</v>
      </c>
      <c r="D20" s="17" t="n">
        <f aca="false">D19/D12</f>
        <v>0.233528587163312</v>
      </c>
      <c r="E20" s="17" t="n">
        <f aca="false">E19/E12</f>
        <v>0.2385</v>
      </c>
      <c r="F20" s="17" t="n">
        <f aca="false">F19/F12</f>
        <v>0.242</v>
      </c>
      <c r="G20" s="17" t="n">
        <f aca="false">G19/G12</f>
        <v>0.244</v>
      </c>
      <c r="H20" s="17" t="n">
        <f aca="false">H19/H12</f>
        <v>0.245</v>
      </c>
      <c r="I20" s="17" t="n">
        <f aca="false">I19/I12</f>
        <v>0.245</v>
      </c>
    </row>
    <row r="21" customFormat="false" ht="28.35" hidden="false" customHeight="false" outlineLevel="0" collapsed="false">
      <c r="B21" s="13" t="s">
        <v>197</v>
      </c>
      <c r="C21" s="13" t="s">
        <v>128</v>
      </c>
      <c r="E21" s="21" t="n">
        <f aca="false">Historicals!$D$98*Historicals!$C$98+Historicals!$D$99*Historicals!$C$99+Historicals!$D$100*Historicals!$C$100+Historicals!$D$101*Historicals!$C$101</f>
        <v>111.10975</v>
      </c>
      <c r="F21" s="21" t="n">
        <f aca="false">Historicals!$D$98*WACC!$C$11+Historicals!$D$99*Historicals!$C$99+Historicals!$D$100*Historicals!$C$100+Historicals!$D$101*Historicals!$C$101</f>
        <v>119.536162592896</v>
      </c>
      <c r="G21" s="21" t="n">
        <f aca="false">Historicals!$D$98*WACC!$C$11+Historicals!$D$99*Historicals!$C$99+Historicals!$D$100*Historicals!$C$100+Historicals!$D$101*Historicals!$C$101</f>
        <v>119.536162592896</v>
      </c>
      <c r="H21" s="21" t="n">
        <f aca="false">Historicals!$D$98*WACC!$C$11+Historicals!$D$99*Historicals!$C$99+Historicals!$D$100*Historicals!$C$100+Historicals!$D$101*Historicals!$C$101</f>
        <v>119.536162592896</v>
      </c>
      <c r="I21" s="21" t="n">
        <f aca="false">Historicals!$D$98*WACC!$C$11+Historicals!$D$99*Historicals!$C$99+Historicals!$D$100*Historicals!$C$100+Historicals!$D$101*Historicals!$C$101</f>
        <v>119.536162592896</v>
      </c>
      <c r="J21" s="5" t="s">
        <v>198</v>
      </c>
    </row>
    <row r="22" customFormat="false" ht="15" hidden="false" customHeight="false" outlineLevel="0" collapsed="false">
      <c r="B22" s="13" t="s">
        <v>155</v>
      </c>
      <c r="C22" s="13" t="s">
        <v>128</v>
      </c>
      <c r="E22" s="21" t="n">
        <f aca="false">(D33+D34)*Inputs!$C$48</f>
        <v>46.08</v>
      </c>
      <c r="F22" s="21" t="n">
        <f aca="false">(E33+E34)*Inputs!$C$48</f>
        <v>43.4271804922815</v>
      </c>
      <c r="G22" s="21" t="n">
        <f aca="false">(F33+F34)*Inputs!$C$48</f>
        <v>43.4271804922815</v>
      </c>
      <c r="H22" s="21" t="n">
        <f aca="false">(G33+G34)*Inputs!$C$48</f>
        <v>43.4271804922815</v>
      </c>
      <c r="I22" s="21" t="n">
        <f aca="false">(H33+H34)*Inputs!$C$48</f>
        <v>43.4271804922815</v>
      </c>
      <c r="J22" s="5" t="s">
        <v>199</v>
      </c>
    </row>
    <row r="23" customFormat="false" ht="15" hidden="false" customHeight="false" outlineLevel="0" collapsed="false">
      <c r="B23" s="13" t="s">
        <v>200</v>
      </c>
      <c r="C23" s="13" t="s">
        <v>128</v>
      </c>
      <c r="D23" s="21" t="n">
        <f aca="false">Historicals!$E$30+Historicals!$E$31</f>
        <v>53.8</v>
      </c>
      <c r="E23" s="21" t="n">
        <f aca="false">E21-E22</f>
        <v>65.02975</v>
      </c>
      <c r="F23" s="21" t="n">
        <f aca="false">F21-F22</f>
        <v>76.1089821006144</v>
      </c>
      <c r="G23" s="21" t="n">
        <f aca="false">G21-G22</f>
        <v>76.1089821006144</v>
      </c>
      <c r="H23" s="21" t="n">
        <f aca="false">H21-H22</f>
        <v>76.1089821006144</v>
      </c>
      <c r="I23" s="21" t="n">
        <f aca="false">I21-I22</f>
        <v>76.1089821006144</v>
      </c>
    </row>
    <row r="24" customFormat="false" ht="15" hidden="false" customHeight="false" outlineLevel="0" collapsed="false">
      <c r="B24" s="13" t="s">
        <v>201</v>
      </c>
      <c r="C24" s="13" t="s">
        <v>128</v>
      </c>
      <c r="D24" s="21" t="n">
        <f aca="false">D19-D23</f>
        <v>1812</v>
      </c>
      <c r="E24" s="21" t="n">
        <f aca="false">E19-E23</f>
        <v>1950.26407805</v>
      </c>
      <c r="F24" s="21" t="n">
        <f aca="false">F19-F23</f>
        <v>2060.88531132239</v>
      </c>
      <c r="G24" s="21" t="n">
        <f aca="false">G19-G23</f>
        <v>2174.57645407769</v>
      </c>
      <c r="H24" s="21" t="n">
        <f aca="false">H19-H23</f>
        <v>2277.27101525759</v>
      </c>
      <c r="I24" s="21" t="n">
        <f aca="false">I19-I23</f>
        <v>2366.65893263068</v>
      </c>
    </row>
    <row r="25" customFormat="false" ht="15" hidden="false" customHeight="false" outlineLevel="0" collapsed="false">
      <c r="B25" s="13" t="s">
        <v>202</v>
      </c>
      <c r="C25" s="13" t="s">
        <v>128</v>
      </c>
      <c r="D25" s="21" t="n">
        <f aca="false">Historicals!$E$32</f>
        <v>330</v>
      </c>
      <c r="E25" s="21" t="n">
        <f aca="false">E24*Inputs!$C$33</f>
        <v>354.9480622051</v>
      </c>
      <c r="F25" s="21" t="n">
        <f aca="false">F24*Inputs!$C$33</f>
        <v>375.081126660674</v>
      </c>
      <c r="G25" s="21" t="n">
        <f aca="false">G24*Inputs!$C$33</f>
        <v>395.772914642139</v>
      </c>
      <c r="H25" s="21" t="n">
        <f aca="false">H24*Inputs!$C$33</f>
        <v>414.463324776881</v>
      </c>
      <c r="I25" s="21" t="n">
        <f aca="false">I24*Inputs!$C$33</f>
        <v>430.731925738783</v>
      </c>
    </row>
    <row r="26" customFormat="false" ht="15" hidden="false" customHeight="false" outlineLevel="0" collapsed="false">
      <c r="B26" s="15" t="s">
        <v>203</v>
      </c>
      <c r="C26" s="13" t="s">
        <v>128</v>
      </c>
      <c r="D26" s="30" t="n">
        <f aca="false">D24-D25</f>
        <v>1482</v>
      </c>
      <c r="E26" s="30" t="n">
        <f aca="false">E24-E25</f>
        <v>1595.3160158449</v>
      </c>
      <c r="F26" s="30" t="n">
        <f aca="false">F24-F25</f>
        <v>1685.80418466171</v>
      </c>
      <c r="G26" s="30" t="n">
        <f aca="false">G24-G25</f>
        <v>1778.80353943555</v>
      </c>
      <c r="H26" s="30" t="n">
        <f aca="false">H24-H25</f>
        <v>1862.80769048071</v>
      </c>
      <c r="I26" s="30" t="n">
        <f aca="false">I24-I25</f>
        <v>1935.92700689189</v>
      </c>
    </row>
    <row r="27" customFormat="false" ht="15" hidden="false" customHeight="false" outlineLevel="0" collapsed="false">
      <c r="B27" s="13" t="s">
        <v>204</v>
      </c>
      <c r="C27" s="13" t="s">
        <v>167</v>
      </c>
      <c r="D27" s="26" t="n">
        <f aca="false">Historicals!$E$20</f>
        <v>210.2</v>
      </c>
      <c r="E27" s="26" t="n">
        <f aca="false">(D70+E70)/2+Inputs!$C$57</f>
        <v>201.259106605549</v>
      </c>
      <c r="F27" s="26" t="n">
        <f aca="false">(E70+F70)/2+Inputs!$C$57</f>
        <v>192.879858827813</v>
      </c>
      <c r="G27" s="26" t="n">
        <f aca="false">(F70+G70)/2+Inputs!$C$57</f>
        <v>184.879301082664</v>
      </c>
      <c r="H27" s="26" t="n">
        <f aca="false">(G70+H70)/2+Inputs!$C$57</f>
        <v>177.107467350964</v>
      </c>
      <c r="I27" s="26" t="n">
        <f aca="false">(H70+I70)/2+Inputs!$C$57</f>
        <v>169.65251970387</v>
      </c>
    </row>
    <row r="28" customFormat="false" ht="15" hidden="false" customHeight="false" outlineLevel="0" collapsed="false">
      <c r="B28" s="15" t="s">
        <v>205</v>
      </c>
      <c r="C28" s="13" t="s">
        <v>142</v>
      </c>
      <c r="D28" s="16" t="n">
        <f aca="false">D26/D27</f>
        <v>7.05042816365366</v>
      </c>
      <c r="E28" s="16" t="n">
        <f aca="false">E26/E27</f>
        <v>7.92667741972832</v>
      </c>
      <c r="F28" s="16" t="n">
        <f aca="false">F26/F27</f>
        <v>8.74017740839731</v>
      </c>
      <c r="G28" s="16" t="n">
        <f aca="false">G26/G27</f>
        <v>9.62143154489856</v>
      </c>
      <c r="H28" s="16" t="n">
        <f aca="false">H26/H27</f>
        <v>10.517951153292</v>
      </c>
      <c r="I28" s="16" t="n">
        <f aca="false">I26/I27</f>
        <v>11.4111302930901</v>
      </c>
    </row>
    <row r="29" customFormat="false" ht="15" hidden="false" customHeight="false" outlineLevel="0" collapsed="false">
      <c r="B29" s="22" t="s">
        <v>187</v>
      </c>
      <c r="C29" s="22" t="s">
        <v>106</v>
      </c>
      <c r="D29" s="24"/>
      <c r="E29" s="20" t="n">
        <f aca="false">E28/D28-1</f>
        <v>0.124283126603841</v>
      </c>
      <c r="F29" s="20" t="n">
        <f aca="false">F28/E28-1</f>
        <v>0.10262811838972</v>
      </c>
      <c r="G29" s="20" t="n">
        <f aca="false">G28/F28-1</f>
        <v>0.100827946084317</v>
      </c>
      <c r="H29" s="20" t="n">
        <f aca="false">H28/G28-1</f>
        <v>0.0931794405239865</v>
      </c>
      <c r="I29" s="20" t="n">
        <f aca="false">I28/H28-1</f>
        <v>0.0849194987484314</v>
      </c>
      <c r="J29" s="24"/>
    </row>
    <row r="31" customFormat="false" ht="15" hidden="false" customHeight="false" outlineLevel="0" collapsed="false">
      <c r="B31" s="11" t="s">
        <v>206</v>
      </c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B32" s="3" t="s">
        <v>184</v>
      </c>
      <c r="C32" s="3" t="s">
        <v>104</v>
      </c>
      <c r="D32" s="3" t="s">
        <v>185</v>
      </c>
      <c r="E32" s="3" t="s">
        <v>99</v>
      </c>
      <c r="F32" s="3" t="s">
        <v>100</v>
      </c>
      <c r="G32" s="3" t="s">
        <v>101</v>
      </c>
      <c r="H32" s="3" t="s">
        <v>102</v>
      </c>
      <c r="I32" s="3" t="s">
        <v>103</v>
      </c>
      <c r="J32" s="3" t="s">
        <v>69</v>
      </c>
    </row>
    <row r="33" customFormat="false" ht="15" hidden="false" customHeight="false" outlineLevel="0" collapsed="false">
      <c r="B33" s="13" t="s">
        <v>207</v>
      </c>
      <c r="C33" s="13" t="s">
        <v>128</v>
      </c>
      <c r="D33" s="21" t="n">
        <f aca="false">Historicals!$E$64</f>
        <v>974.7</v>
      </c>
      <c r="E33" s="21" t="n">
        <f aca="false">E64</f>
        <v>908.379512307037</v>
      </c>
      <c r="F33" s="21" t="n">
        <f aca="false">F64</f>
        <v>908.379512307037</v>
      </c>
      <c r="G33" s="21" t="n">
        <f aca="false">G64</f>
        <v>908.379512307037</v>
      </c>
      <c r="H33" s="21" t="n">
        <f aca="false">H64</f>
        <v>908.379512307037</v>
      </c>
      <c r="I33" s="21" t="n">
        <f aca="false">I64</f>
        <v>908.379512307037</v>
      </c>
    </row>
    <row r="34" customFormat="false" ht="15" hidden="false" customHeight="false" outlineLevel="0" collapsed="false">
      <c r="B34" s="13" t="s">
        <v>208</v>
      </c>
      <c r="C34" s="13" t="s">
        <v>128</v>
      </c>
      <c r="D34" s="21" t="n">
        <f aca="false">Historicals!$E$65</f>
        <v>177.3</v>
      </c>
      <c r="E34" s="21" t="n">
        <f aca="false">D34</f>
        <v>177.3</v>
      </c>
      <c r="F34" s="21" t="n">
        <f aca="false">E34</f>
        <v>177.3</v>
      </c>
      <c r="G34" s="21" t="n">
        <f aca="false">F34</f>
        <v>177.3</v>
      </c>
      <c r="H34" s="21" t="n">
        <f aca="false">G34</f>
        <v>177.3</v>
      </c>
      <c r="I34" s="21" t="n">
        <f aca="false">H34</f>
        <v>177.3</v>
      </c>
    </row>
    <row r="35" customFormat="false" ht="15" hidden="false" customHeight="false" outlineLevel="0" collapsed="false">
      <c r="B35" s="13" t="s">
        <v>209</v>
      </c>
      <c r="C35" s="13" t="s">
        <v>128</v>
      </c>
      <c r="D35" s="21" t="n">
        <f aca="false">Historicals!$E$66</f>
        <v>237.1</v>
      </c>
      <c r="E35" s="21" t="n">
        <f aca="false">E12*Inputs!$C$37/365</f>
        <v>250.023529972603</v>
      </c>
      <c r="F35" s="21" t="n">
        <f aca="false">F12*Inputs!$C$37/365</f>
        <v>261.287652767671</v>
      </c>
      <c r="G35" s="21" t="n">
        <f aca="false">G12*Inputs!$C$37/365</f>
        <v>272.93288469263</v>
      </c>
      <c r="H35" s="21" t="n">
        <f aca="false">H12*Inputs!$C$37/365</f>
        <v>284.221459004401</v>
      </c>
      <c r="I35" s="21" t="n">
        <f aca="false">I12*Inputs!$C$37/365</f>
        <v>295.016980476354</v>
      </c>
    </row>
    <row r="36" customFormat="false" ht="15" hidden="false" customHeight="false" outlineLevel="0" collapsed="false">
      <c r="B36" s="13" t="s">
        <v>210</v>
      </c>
      <c r="C36" s="13" t="s">
        <v>128</v>
      </c>
      <c r="D36" s="21" t="n">
        <f aca="false">Historicals!$E$67</f>
        <v>826.2</v>
      </c>
      <c r="E36" s="21" t="n">
        <f aca="false">E14*Inputs!$C$38/365</f>
        <v>867.933533973041</v>
      </c>
      <c r="F36" s="21" t="n">
        <f aca="false">F14*Inputs!$C$38/365</f>
        <v>899.216618339704</v>
      </c>
      <c r="G36" s="21" t="n">
        <f aca="false">G14*Inputs!$C$38/365</f>
        <v>935.209583711977</v>
      </c>
      <c r="H36" s="21" t="n">
        <f aca="false">H14*Inputs!$C$38/365</f>
        <v>969.63729747457</v>
      </c>
      <c r="I36" s="21" t="n">
        <f aca="false">I14*Inputs!$C$38/365</f>
        <v>1006.46681872733</v>
      </c>
    </row>
    <row r="37" customFormat="false" ht="15" hidden="false" customHeight="false" outlineLevel="0" collapsed="false">
      <c r="B37" s="13" t="s">
        <v>211</v>
      </c>
      <c r="C37" s="13" t="s">
        <v>128</v>
      </c>
      <c r="D37" s="21" t="n">
        <f aca="false">Historicals!$E$68</f>
        <v>667</v>
      </c>
      <c r="E37" s="21" t="n">
        <f aca="false">D37</f>
        <v>667</v>
      </c>
      <c r="F37" s="21" t="n">
        <f aca="false">E37</f>
        <v>667</v>
      </c>
      <c r="G37" s="21" t="n">
        <f aca="false">F37</f>
        <v>667</v>
      </c>
      <c r="H37" s="21" t="n">
        <f aca="false">G37</f>
        <v>667</v>
      </c>
      <c r="I37" s="21" t="n">
        <f aca="false">H37</f>
        <v>667</v>
      </c>
    </row>
    <row r="38" customFormat="false" ht="15" hidden="false" customHeight="false" outlineLevel="0" collapsed="false">
      <c r="B38" s="13" t="s">
        <v>212</v>
      </c>
      <c r="C38" s="13" t="s">
        <v>128</v>
      </c>
      <c r="D38" s="21" t="n">
        <f aca="false">Historicals!$E$69</f>
        <v>502.1</v>
      </c>
      <c r="E38" s="21" t="n">
        <f aca="false">D38+E59-E55</f>
        <v>573.9535289</v>
      </c>
      <c r="F38" s="21" t="n">
        <f aca="false">E38+F59-F55</f>
        <v>626.936858489</v>
      </c>
      <c r="G38" s="21" t="n">
        <f aca="false">F38+G59-G55</f>
        <v>682.28158232945</v>
      </c>
      <c r="H38" s="21" t="n">
        <f aca="false">G38+H59-H55</f>
        <v>739.91537818312</v>
      </c>
      <c r="I38" s="21" t="n">
        <f aca="false">H38+I59-I55</f>
        <v>799.738265890826</v>
      </c>
    </row>
    <row r="39" customFormat="false" ht="15" hidden="false" customHeight="false" outlineLevel="0" collapsed="false">
      <c r="B39" s="13" t="s">
        <v>213</v>
      </c>
      <c r="C39" s="13" t="s">
        <v>128</v>
      </c>
      <c r="D39" s="21" t="n">
        <f aca="false">Historicals!$E$70</f>
        <v>1417.2</v>
      </c>
      <c r="E39" s="21" t="n">
        <f aca="false">D39</f>
        <v>1417.2</v>
      </c>
      <c r="F39" s="21" t="n">
        <f aca="false">E39</f>
        <v>1417.2</v>
      </c>
      <c r="G39" s="21" t="n">
        <f aca="false">F39</f>
        <v>1417.2</v>
      </c>
      <c r="H39" s="21" t="n">
        <f aca="false">G39</f>
        <v>1417.2</v>
      </c>
      <c r="I39" s="21" t="n">
        <f aca="false">H39</f>
        <v>1417.2</v>
      </c>
    </row>
    <row r="40" customFormat="false" ht="15" hidden="false" customHeight="false" outlineLevel="0" collapsed="false">
      <c r="B40" s="13" t="s">
        <v>214</v>
      </c>
      <c r="C40" s="13" t="s">
        <v>128</v>
      </c>
      <c r="D40" s="21" t="n">
        <f aca="false">Historicals!$E$71+Historicals!$E$72</f>
        <v>1674.2</v>
      </c>
      <c r="E40" s="21" t="n">
        <f aca="false">D40</f>
        <v>1674.2</v>
      </c>
      <c r="F40" s="21" t="n">
        <f aca="false">E40</f>
        <v>1674.2</v>
      </c>
      <c r="G40" s="21" t="n">
        <f aca="false">F40</f>
        <v>1674.2</v>
      </c>
      <c r="H40" s="21" t="n">
        <f aca="false">G40</f>
        <v>1674.2</v>
      </c>
      <c r="I40" s="21" t="n">
        <f aca="false">H40</f>
        <v>1674.2</v>
      </c>
    </row>
    <row r="41" customFormat="false" ht="15" hidden="false" customHeight="false" outlineLevel="0" collapsed="false">
      <c r="B41" s="13" t="s">
        <v>215</v>
      </c>
      <c r="C41" s="13" t="s">
        <v>128</v>
      </c>
      <c r="D41" s="21" t="n">
        <f aca="false">Historicals!$E$73</f>
        <v>215.9</v>
      </c>
      <c r="E41" s="21" t="n">
        <f aca="false">D41</f>
        <v>215.9</v>
      </c>
      <c r="F41" s="21" t="n">
        <f aca="false">E41</f>
        <v>215.9</v>
      </c>
      <c r="G41" s="21" t="n">
        <f aca="false">F41</f>
        <v>215.9</v>
      </c>
      <c r="H41" s="21" t="n">
        <f aca="false">G41</f>
        <v>215.9</v>
      </c>
      <c r="I41" s="21" t="n">
        <f aca="false">H41</f>
        <v>215.9</v>
      </c>
    </row>
    <row r="42" customFormat="false" ht="15" hidden="false" customHeight="false" outlineLevel="0" collapsed="false">
      <c r="B42" s="15" t="s">
        <v>216</v>
      </c>
      <c r="C42" s="13" t="s">
        <v>128</v>
      </c>
      <c r="D42" s="30" t="n">
        <f aca="false">SUM(D33:D41)</f>
        <v>6691.7</v>
      </c>
      <c r="E42" s="30" t="n">
        <f aca="false">SUM(E33:E41)</f>
        <v>6751.89010515268</v>
      </c>
      <c r="F42" s="30" t="n">
        <f aca="false">SUM(F33:F41)</f>
        <v>6847.42064190341</v>
      </c>
      <c r="G42" s="30" t="n">
        <f aca="false">SUM(G33:G41)</f>
        <v>6950.40356304109</v>
      </c>
      <c r="H42" s="30" t="n">
        <f aca="false">SUM(H33:H41)</f>
        <v>7053.75364696913</v>
      </c>
      <c r="I42" s="30" t="n">
        <f aca="false">SUM(I33:I41)</f>
        <v>7161.20157740155</v>
      </c>
    </row>
    <row r="43" customFormat="false" ht="15" hidden="false" customHeight="false" outlineLevel="0" collapsed="false">
      <c r="B43" s="13" t="s">
        <v>217</v>
      </c>
      <c r="C43" s="13" t="s">
        <v>128</v>
      </c>
      <c r="D43" s="21" t="n">
        <f aca="false">Historicals!$E$75</f>
        <v>582.3</v>
      </c>
      <c r="E43" s="21" t="n">
        <f aca="false">E14*Inputs!$C$39/365</f>
        <v>611.742756927781</v>
      </c>
      <c r="F43" s="21" t="n">
        <f aca="false">F14*Inputs!$C$39/365</f>
        <v>633.791911069878</v>
      </c>
      <c r="G43" s="21" t="n">
        <f aca="false">G14*Inputs!$C$39/365</f>
        <v>659.160715252439</v>
      </c>
      <c r="H43" s="21" t="n">
        <f aca="false">H14*Inputs!$C$39/365</f>
        <v>683.426288257138</v>
      </c>
      <c r="I43" s="21" t="n">
        <f aca="false">I14*Inputs!$C$39/365</f>
        <v>709.384719387641</v>
      </c>
    </row>
    <row r="44" customFormat="false" ht="15" hidden="false" customHeight="false" outlineLevel="0" collapsed="false">
      <c r="B44" s="13" t="s">
        <v>138</v>
      </c>
      <c r="C44" s="13" t="s">
        <v>128</v>
      </c>
      <c r="D44" s="21" t="n">
        <f aca="false">Historicals!$E$76</f>
        <v>754.9</v>
      </c>
      <c r="E44" s="21" t="n">
        <f aca="false">E12*Inputs!$C$40</f>
        <v>798.51264885</v>
      </c>
      <c r="F44" s="21" t="n">
        <f aca="false">F12*Inputs!$C$40</f>
        <v>834.48744102675</v>
      </c>
      <c r="G44" s="21" t="n">
        <f aca="false">G12*Inputs!$C$40</f>
        <v>871.679400487088</v>
      </c>
      <c r="H44" s="21" t="n">
        <f aca="false">H12*Inputs!$C$40</f>
        <v>907.732284695306</v>
      </c>
      <c r="I44" s="21" t="n">
        <f aca="false">I12*Inputs!$C$40</f>
        <v>942.210481396355</v>
      </c>
    </row>
    <row r="45" customFormat="false" ht="15" hidden="false" customHeight="false" outlineLevel="0" collapsed="false">
      <c r="B45" s="13" t="s">
        <v>218</v>
      </c>
      <c r="C45" s="13" t="s">
        <v>128</v>
      </c>
      <c r="D45" s="21" t="n">
        <f aca="false">Historicals!$E$77+Historicals!$E$80</f>
        <v>1574</v>
      </c>
      <c r="E45" s="21" t="n">
        <f aca="false">D45</f>
        <v>1574</v>
      </c>
      <c r="F45" s="21" t="n">
        <f aca="false">E45</f>
        <v>1574</v>
      </c>
      <c r="G45" s="21" t="n">
        <f aca="false">F45</f>
        <v>1574</v>
      </c>
      <c r="H45" s="21" t="n">
        <f aca="false">G45</f>
        <v>1574</v>
      </c>
      <c r="I45" s="21" t="n">
        <f aca="false">H45</f>
        <v>1574</v>
      </c>
    </row>
    <row r="46" customFormat="false" ht="15" hidden="false" customHeight="false" outlineLevel="0" collapsed="false">
      <c r="B46" s="13" t="s">
        <v>219</v>
      </c>
      <c r="C46" s="13" t="s">
        <v>128</v>
      </c>
      <c r="D46" s="21" t="n">
        <f aca="false">Historicals!$E$79+Historicals!$E$78</f>
        <v>2379</v>
      </c>
      <c r="E46" s="21" t="n">
        <f aca="false">D46</f>
        <v>2379</v>
      </c>
      <c r="F46" s="21" t="n">
        <f aca="false">E46</f>
        <v>2379</v>
      </c>
      <c r="G46" s="21" t="n">
        <f aca="false">F46</f>
        <v>2379</v>
      </c>
      <c r="H46" s="21" t="n">
        <f aca="false">G46</f>
        <v>2379</v>
      </c>
      <c r="I46" s="21" t="n">
        <f aca="false">H46</f>
        <v>2379</v>
      </c>
      <c r="J46" s="5" t="s">
        <v>220</v>
      </c>
    </row>
    <row r="47" customFormat="false" ht="15" hidden="false" customHeight="false" outlineLevel="0" collapsed="false">
      <c r="B47" s="13" t="s">
        <v>221</v>
      </c>
      <c r="C47" s="13" t="s">
        <v>128</v>
      </c>
      <c r="D47" s="21" t="n">
        <f aca="false">Historicals!$E$81</f>
        <v>709.4</v>
      </c>
      <c r="E47" s="21" t="n">
        <f aca="false">D47</f>
        <v>709.4</v>
      </c>
      <c r="F47" s="21" t="n">
        <f aca="false">E47</f>
        <v>709.4</v>
      </c>
      <c r="G47" s="21" t="n">
        <f aca="false">F47</f>
        <v>709.4</v>
      </c>
      <c r="H47" s="21" t="n">
        <f aca="false">G47</f>
        <v>709.4</v>
      </c>
      <c r="I47" s="21" t="n">
        <f aca="false">H47</f>
        <v>709.4</v>
      </c>
    </row>
    <row r="48" customFormat="false" ht="15" hidden="false" customHeight="false" outlineLevel="0" collapsed="false">
      <c r="B48" s="15" t="s">
        <v>222</v>
      </c>
      <c r="C48" s="13" t="s">
        <v>128</v>
      </c>
      <c r="D48" s="30" t="n">
        <f aca="false">SUM(D43:D47)</f>
        <v>5999.6</v>
      </c>
      <c r="E48" s="30" t="n">
        <f aca="false">SUM(E43:E47)</f>
        <v>6072.65540577778</v>
      </c>
      <c r="F48" s="30" t="n">
        <f aca="false">SUM(F43:F47)</f>
        <v>6130.67935209663</v>
      </c>
      <c r="G48" s="30" t="n">
        <f aca="false">SUM(G43:G47)</f>
        <v>6193.24011573953</v>
      </c>
      <c r="H48" s="30" t="n">
        <f aca="false">SUM(H43:H47)</f>
        <v>6253.55857295245</v>
      </c>
      <c r="I48" s="30" t="n">
        <f aca="false">SUM(I43:I47)</f>
        <v>6313.995200784</v>
      </c>
    </row>
    <row r="49" customFormat="false" ht="15" hidden="false" customHeight="false" outlineLevel="0" collapsed="false">
      <c r="B49" s="13" t="s">
        <v>223</v>
      </c>
      <c r="C49" s="13" t="s">
        <v>128</v>
      </c>
      <c r="D49" s="21" t="n">
        <f aca="false">Historicals!$E$83</f>
        <v>692.1</v>
      </c>
      <c r="E49" s="21" t="n">
        <f aca="false">D49+E26+E56-E61-E62</f>
        <v>679.2346993749</v>
      </c>
      <c r="F49" s="21" t="n">
        <f aca="false">E49+F26+F56-F61-F62</f>
        <v>716.741289806784</v>
      </c>
      <c r="G49" s="21" t="n">
        <f aca="false">F49+G26+G56-G61-G62</f>
        <v>757.163447301567</v>
      </c>
      <c r="H49" s="21" t="n">
        <f aca="false">G49+H26+H56-H61-H62</f>
        <v>800.195074016684</v>
      </c>
      <c r="I49" s="21" t="n">
        <f aca="false">H49+I26+I56-I61-I62</f>
        <v>847.206376617549</v>
      </c>
    </row>
    <row r="50" customFormat="false" ht="15" hidden="false" customHeight="false" outlineLevel="0" collapsed="false">
      <c r="B50" s="22" t="s">
        <v>224</v>
      </c>
      <c r="C50" s="22" t="s">
        <v>128</v>
      </c>
      <c r="D50" s="31" t="n">
        <f aca="false">D42-D48-D49</f>
        <v>0</v>
      </c>
      <c r="E50" s="31" t="n">
        <f aca="false">ROUND(E42-E48-E49,3)</f>
        <v>0</v>
      </c>
      <c r="F50" s="31" t="n">
        <f aca="false">ROUND(F42-F48-F49,3)</f>
        <v>0</v>
      </c>
      <c r="G50" s="31" t="n">
        <f aca="false">ROUND(G42-G48-G49,3)</f>
        <v>0</v>
      </c>
      <c r="H50" s="31" t="n">
        <f aca="false">ROUND(H42-H48-H49,3)</f>
        <v>0</v>
      </c>
      <c r="I50" s="31" t="n">
        <f aca="false">ROUND(I42-I48-I49,3)</f>
        <v>0</v>
      </c>
      <c r="J50" s="7" t="s">
        <v>225</v>
      </c>
    </row>
    <row r="52" customFormat="false" ht="15" hidden="false" customHeight="false" outlineLevel="0" collapsed="false">
      <c r="B52" s="11" t="s">
        <v>226</v>
      </c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B53" s="3" t="s">
        <v>184</v>
      </c>
      <c r="C53" s="3" t="s">
        <v>104</v>
      </c>
      <c r="D53" s="3" t="s">
        <v>185</v>
      </c>
      <c r="E53" s="3" t="s">
        <v>99</v>
      </c>
      <c r="F53" s="3" t="s">
        <v>100</v>
      </c>
      <c r="G53" s="3" t="s">
        <v>101</v>
      </c>
      <c r="H53" s="3" t="s">
        <v>102</v>
      </c>
      <c r="I53" s="3" t="s">
        <v>103</v>
      </c>
      <c r="J53" s="3" t="s">
        <v>69</v>
      </c>
    </row>
    <row r="54" customFormat="false" ht="15" hidden="false" customHeight="false" outlineLevel="0" collapsed="false">
      <c r="B54" s="13" t="s">
        <v>227</v>
      </c>
      <c r="C54" s="13" t="s">
        <v>128</v>
      </c>
      <c r="E54" s="21" t="n">
        <f aca="false">E26</f>
        <v>1595.3160158449</v>
      </c>
      <c r="F54" s="21" t="n">
        <f aca="false">F26</f>
        <v>1685.80418466171</v>
      </c>
      <c r="G54" s="21" t="n">
        <f aca="false">G26</f>
        <v>1778.80353943555</v>
      </c>
      <c r="H54" s="21" t="n">
        <f aca="false">H26</f>
        <v>1862.80769048071</v>
      </c>
      <c r="I54" s="21" t="n">
        <f aca="false">I26</f>
        <v>1935.92700689189</v>
      </c>
    </row>
    <row r="55" customFormat="false" ht="15" hidden="false" customHeight="false" outlineLevel="0" collapsed="false">
      <c r="B55" s="13" t="s">
        <v>228</v>
      </c>
      <c r="C55" s="13" t="s">
        <v>128</v>
      </c>
      <c r="E55" s="21" t="n">
        <f aca="false">E12*Inputs!$C$34</f>
        <v>228.1464711</v>
      </c>
      <c r="F55" s="21" t="n">
        <f aca="false">F12*Inputs!$C$34</f>
        <v>238.4249831505</v>
      </c>
      <c r="G55" s="21" t="n">
        <f aca="false">G12*Inputs!$C$34</f>
        <v>249.051257282025</v>
      </c>
      <c r="H55" s="21" t="n">
        <f aca="false">H12*Inputs!$C$34</f>
        <v>259.352081341516</v>
      </c>
      <c r="I55" s="21" t="n">
        <f aca="false">I12*Inputs!$C$34</f>
        <v>269.202994684673</v>
      </c>
    </row>
    <row r="56" customFormat="false" ht="15" hidden="false" customHeight="false" outlineLevel="0" collapsed="false">
      <c r="B56" s="13" t="s">
        <v>139</v>
      </c>
      <c r="C56" s="13" t="s">
        <v>128</v>
      </c>
      <c r="E56" s="21" t="n">
        <f aca="false">E12*Inputs!$C$41</f>
        <v>110.69328783</v>
      </c>
      <c r="F56" s="21" t="n">
        <f aca="false">F12*Inputs!$C$41</f>
        <v>115.68026960265</v>
      </c>
      <c r="G56" s="21" t="n">
        <f aca="false">G12*Inputs!$C$41</f>
        <v>120.835980384983</v>
      </c>
      <c r="H56" s="21" t="n">
        <f aca="false">H12*Inputs!$C$41</f>
        <v>125.833787613847</v>
      </c>
      <c r="I56" s="21" t="n">
        <f aca="false">I12*Inputs!$C$41</f>
        <v>130.613304828489</v>
      </c>
    </row>
    <row r="57" customFormat="false" ht="15" hidden="false" customHeight="false" outlineLevel="0" collapsed="false">
      <c r="B57" s="13" t="s">
        <v>229</v>
      </c>
      <c r="C57" s="13" t="s">
        <v>128</v>
      </c>
      <c r="E57" s="21" t="n">
        <f aca="false">-(E35-D35)-(E36-D36)+(E43-D43)+(E44-D44)</f>
        <v>18.3983418321373</v>
      </c>
      <c r="F57" s="21" t="n">
        <f aca="false">-(F35-E35)-(F36-E36)+(F43-E43)+(F44-E44)</f>
        <v>15.4767391571155</v>
      </c>
      <c r="G57" s="21" t="n">
        <f aca="false">-(G35-F35)-(G36-F36)+(G43-F43)+(G44-F44)</f>
        <v>14.9225663456671</v>
      </c>
      <c r="H57" s="21" t="n">
        <f aca="false">-(H35-G35)-(H36-G36)+(H43-G43)+(H44-G44)</f>
        <v>14.6021691385536</v>
      </c>
      <c r="I57" s="21" t="n">
        <f aca="false">-(I35-H35)-(I36-H36)+(I43-H43)+(I44-H44)</f>
        <v>12.8115851068395</v>
      </c>
    </row>
    <row r="58" customFormat="false" ht="15" hidden="false" customHeight="false" outlineLevel="0" collapsed="false">
      <c r="B58" s="15" t="s">
        <v>230</v>
      </c>
      <c r="C58" s="13" t="s">
        <v>128</v>
      </c>
      <c r="D58" s="30" t="n">
        <f aca="false">Historicals!$E$88</f>
        <v>1978.5</v>
      </c>
      <c r="E58" s="30" t="n">
        <f aca="false">E54+E55+E56+E57</f>
        <v>1952.55411660704</v>
      </c>
      <c r="F58" s="30" t="n">
        <f aca="false">F54+F55+F56+F57</f>
        <v>2055.38617657198</v>
      </c>
      <c r="G58" s="30" t="n">
        <f aca="false">G54+G55+G56+G57</f>
        <v>2163.61334344822</v>
      </c>
      <c r="H58" s="30" t="n">
        <f aca="false">H54+H55+H56+H57</f>
        <v>2262.59572857462</v>
      </c>
      <c r="I58" s="30" t="n">
        <f aca="false">I54+I55+I56+I57</f>
        <v>2348.55489151189</v>
      </c>
    </row>
    <row r="59" customFormat="false" ht="15" hidden="false" customHeight="false" outlineLevel="0" collapsed="false">
      <c r="B59" s="13" t="s">
        <v>231</v>
      </c>
      <c r="C59" s="13" t="s">
        <v>128</v>
      </c>
      <c r="E59" s="21" t="n">
        <f aca="false">Inputs!$C$35</f>
        <v>300</v>
      </c>
      <c r="F59" s="21" t="n">
        <f aca="false">F12*Inputs!$C$36</f>
        <v>291.4083127395</v>
      </c>
      <c r="G59" s="21" t="n">
        <f aca="false">G12*Inputs!$C$36</f>
        <v>304.395981122475</v>
      </c>
      <c r="H59" s="21" t="n">
        <f aca="false">H12*Inputs!$C$36</f>
        <v>316.985877195186</v>
      </c>
      <c r="I59" s="21" t="n">
        <f aca="false">I12*Inputs!$C$36</f>
        <v>329.025882392378</v>
      </c>
    </row>
    <row r="60" customFormat="false" ht="15" hidden="false" customHeight="false" outlineLevel="0" collapsed="false">
      <c r="B60" s="15" t="s">
        <v>232</v>
      </c>
      <c r="C60" s="13" t="s">
        <v>128</v>
      </c>
      <c r="E60" s="30" t="n">
        <f aca="false">E58-E59</f>
        <v>1652.55411660704</v>
      </c>
      <c r="F60" s="30" t="n">
        <f aca="false">F58-F59</f>
        <v>1763.97786383248</v>
      </c>
      <c r="G60" s="30" t="n">
        <f aca="false">G58-G59</f>
        <v>1859.21736232575</v>
      </c>
      <c r="H60" s="30" t="n">
        <f aca="false">H58-H59</f>
        <v>1945.60985137944</v>
      </c>
      <c r="I60" s="30" t="n">
        <f aca="false">I58-I59</f>
        <v>2019.52900911952</v>
      </c>
    </row>
    <row r="61" customFormat="false" ht="15" hidden="false" customHeight="false" outlineLevel="0" collapsed="false">
      <c r="B61" s="13" t="s">
        <v>233</v>
      </c>
      <c r="C61" s="13" t="s">
        <v>128</v>
      </c>
      <c r="D61" s="21" t="n">
        <f aca="false">-Historicals!$E$93</f>
        <v>326.1</v>
      </c>
      <c r="E61" s="21" t="n">
        <f aca="false">E68*D70</f>
        <v>368.8746043</v>
      </c>
      <c r="F61" s="21" t="n">
        <f aca="false">F68*E70</f>
        <v>381.071617351774</v>
      </c>
      <c r="G61" s="21" t="n">
        <f aca="false">G68*F70</f>
        <v>394.093186406098</v>
      </c>
      <c r="H61" s="21" t="n">
        <f aca="false">H68*G70</f>
        <v>407.191859665562</v>
      </c>
      <c r="I61" s="21" t="n">
        <f aca="false">I68*H70</f>
        <v>420.548364857617</v>
      </c>
    </row>
    <row r="62" customFormat="false" ht="15" hidden="false" customHeight="false" outlineLevel="0" collapsed="false">
      <c r="B62" s="13" t="s">
        <v>234</v>
      </c>
      <c r="C62" s="13" t="s">
        <v>128</v>
      </c>
      <c r="D62" s="21" t="n">
        <f aca="false">-Historicals!$E$94</f>
        <v>1554.6</v>
      </c>
      <c r="E62" s="21" t="n">
        <f aca="false">Inputs!$C$44</f>
        <v>1350</v>
      </c>
      <c r="F62" s="21" t="n">
        <f aca="false">MAX(0,F60-F61)</f>
        <v>1382.9062464807</v>
      </c>
      <c r="G62" s="21" t="n">
        <f aca="false">MAX(0,G60-G61)</f>
        <v>1465.12417591965</v>
      </c>
      <c r="H62" s="21" t="n">
        <f aca="false">MAX(0,H60-H61)</f>
        <v>1538.41799171387</v>
      </c>
      <c r="I62" s="21" t="n">
        <f aca="false">MAX(0,I60-I61)</f>
        <v>1598.9806442619</v>
      </c>
    </row>
    <row r="63" customFormat="false" ht="15" hidden="false" customHeight="false" outlineLevel="0" collapsed="false">
      <c r="B63" s="13" t="s">
        <v>235</v>
      </c>
      <c r="C63" s="13" t="s">
        <v>128</v>
      </c>
      <c r="E63" s="21" t="n">
        <f aca="false">E60-E61-E62</f>
        <v>-66.3204876929628</v>
      </c>
      <c r="F63" s="21" t="n">
        <f aca="false">F60-F61-F62</f>
        <v>0</v>
      </c>
      <c r="G63" s="21" t="n">
        <f aca="false">G60-G61-G62</f>
        <v>0</v>
      </c>
      <c r="H63" s="21" t="n">
        <f aca="false">H60-H61-H62</f>
        <v>0</v>
      </c>
      <c r="I63" s="21" t="n">
        <f aca="false">I60-I61-I62</f>
        <v>0</v>
      </c>
    </row>
    <row r="64" customFormat="false" ht="15" hidden="false" customHeight="false" outlineLevel="0" collapsed="false">
      <c r="B64" s="18" t="s">
        <v>236</v>
      </c>
      <c r="C64" s="22" t="s">
        <v>128</v>
      </c>
      <c r="D64" s="24"/>
      <c r="E64" s="32" t="n">
        <f aca="false">D33+E63</f>
        <v>908.379512307037</v>
      </c>
      <c r="F64" s="32" t="n">
        <f aca="false">E33+F63</f>
        <v>908.379512307037</v>
      </c>
      <c r="G64" s="32" t="n">
        <f aca="false">F33+G63</f>
        <v>908.379512307037</v>
      </c>
      <c r="H64" s="32" t="n">
        <f aca="false">G33+H63</f>
        <v>908.379512307037</v>
      </c>
      <c r="I64" s="32" t="n">
        <f aca="false">H33+I63</f>
        <v>908.379512307037</v>
      </c>
      <c r="J64" s="24"/>
    </row>
    <row r="66" customFormat="false" ht="15" hidden="false" customHeight="false" outlineLevel="0" collapsed="false">
      <c r="B66" s="11" t="s">
        <v>237</v>
      </c>
      <c r="C66" s="12"/>
      <c r="D66" s="12"/>
      <c r="E66" s="12"/>
      <c r="F66" s="12"/>
      <c r="G66" s="12"/>
      <c r="H66" s="12"/>
      <c r="I66" s="12"/>
      <c r="J66" s="12"/>
    </row>
    <row r="67" customFormat="false" ht="15" hidden="false" customHeight="false" outlineLevel="0" collapsed="false">
      <c r="B67" s="3" t="s">
        <v>184</v>
      </c>
      <c r="C67" s="3" t="s">
        <v>104</v>
      </c>
      <c r="D67" s="3" t="s">
        <v>185</v>
      </c>
      <c r="E67" s="3" t="s">
        <v>99</v>
      </c>
      <c r="F67" s="3" t="s">
        <v>100</v>
      </c>
      <c r="G67" s="3" t="s">
        <v>101</v>
      </c>
      <c r="H67" s="3" t="s">
        <v>102</v>
      </c>
      <c r="I67" s="3" t="s">
        <v>103</v>
      </c>
      <c r="J67" s="3" t="s">
        <v>69</v>
      </c>
    </row>
    <row r="68" customFormat="false" ht="15" hidden="false" customHeight="false" outlineLevel="0" collapsed="false">
      <c r="B68" s="13" t="s">
        <v>238</v>
      </c>
      <c r="C68" s="13" t="s">
        <v>142</v>
      </c>
      <c r="D68" s="14" t="n">
        <v>1.6</v>
      </c>
      <c r="E68" s="14" t="n">
        <f aca="false">Inputs!$C$42</f>
        <v>1.85</v>
      </c>
      <c r="F68" s="14" t="n">
        <f aca="false">E68*(1+Inputs!$C$43)</f>
        <v>1.998</v>
      </c>
      <c r="G68" s="14" t="n">
        <f aca="false">F68*(1+Inputs!$C$43)</f>
        <v>2.15784</v>
      </c>
      <c r="H68" s="14" t="n">
        <f aca="false">G68*(1+Inputs!$C$43)</f>
        <v>2.3304672</v>
      </c>
      <c r="I68" s="14" t="n">
        <f aca="false">H68*(1+Inputs!$C$43)</f>
        <v>2.516904576</v>
      </c>
    </row>
    <row r="69" customFormat="false" ht="15" hidden="false" customHeight="false" outlineLevel="0" collapsed="false">
      <c r="B69" s="13" t="s">
        <v>239</v>
      </c>
      <c r="C69" s="13" t="s">
        <v>142</v>
      </c>
      <c r="E69" s="14" t="n">
        <f aca="false">Inputs!$C$53</f>
        <v>115.82</v>
      </c>
      <c r="F69" s="14" t="n">
        <f aca="false">E69*(1+Inputs!$C$46)</f>
        <v>126.2438</v>
      </c>
      <c r="G69" s="14" t="n">
        <f aca="false">F69*(1+Inputs!$C$46)</f>
        <v>137.605742</v>
      </c>
      <c r="H69" s="14" t="n">
        <f aca="false">G69*(1+Inputs!$C$46)</f>
        <v>149.99025878</v>
      </c>
      <c r="I69" s="14" t="n">
        <f aca="false">H69*(1+Inputs!$C$46)</f>
        <v>163.4893820702</v>
      </c>
    </row>
    <row r="70" customFormat="false" ht="15" hidden="false" customHeight="false" outlineLevel="0" collapsed="false">
      <c r="B70" s="22" t="s">
        <v>240</v>
      </c>
      <c r="C70" s="22" t="s">
        <v>167</v>
      </c>
      <c r="D70" s="33" t="n">
        <f aca="false">Historicals!$C$105</f>
        <v>199.391678</v>
      </c>
      <c r="E70" s="33" t="n">
        <f aca="false">D70*(1+Inputs!$C$47)-E62/E69</f>
        <v>190.726535211098</v>
      </c>
      <c r="F70" s="33" t="n">
        <f aca="false">E70*(1+Inputs!$C$47)-F62/F69</f>
        <v>182.633182444527</v>
      </c>
      <c r="G70" s="33" t="n">
        <f aca="false">F70*(1+Inputs!$C$47)-G62/G69</f>
        <v>174.725419720802</v>
      </c>
      <c r="H70" s="33" t="n">
        <f aca="false">G70*(1+Inputs!$C$47)-H62/H69</f>
        <v>167.089514981126</v>
      </c>
      <c r="I70" s="33" t="n">
        <f aca="false">H70*(1+Inputs!$C$47)-I62/I69</f>
        <v>159.815524426613</v>
      </c>
      <c r="J70" s="7" t="s">
        <v>241</v>
      </c>
    </row>
    <row r="72" customFormat="false" ht="15" hidden="false" customHeight="false" outlineLevel="0" collapsed="false">
      <c r="B72" s="11" t="s">
        <v>242</v>
      </c>
      <c r="C72" s="12"/>
      <c r="D72" s="12"/>
      <c r="E72" s="12"/>
      <c r="F72" s="12"/>
      <c r="G72" s="12"/>
      <c r="H72" s="12"/>
      <c r="I72" s="12"/>
      <c r="J72" s="12"/>
    </row>
    <row r="73" customFormat="false" ht="15" hidden="false" customHeight="false" outlineLevel="0" collapsed="false">
      <c r="B73" s="10" t="s">
        <v>243</v>
      </c>
    </row>
    <row r="74" customFormat="false" ht="15" hidden="false" customHeight="false" outlineLevel="0" collapsed="false">
      <c r="B74" s="3" t="s">
        <v>184</v>
      </c>
      <c r="C74" s="3" t="s">
        <v>104</v>
      </c>
      <c r="D74" s="3" t="s">
        <v>185</v>
      </c>
      <c r="E74" s="3" t="s">
        <v>99</v>
      </c>
      <c r="F74" s="3" t="s">
        <v>100</v>
      </c>
      <c r="G74" s="3" t="s">
        <v>101</v>
      </c>
      <c r="H74" s="3" t="s">
        <v>102</v>
      </c>
      <c r="I74" s="3" t="s">
        <v>103</v>
      </c>
      <c r="J74" s="3" t="s">
        <v>69</v>
      </c>
    </row>
    <row r="75" customFormat="false" ht="15" hidden="false" customHeight="false" outlineLevel="0" collapsed="false">
      <c r="B75" s="13" t="s">
        <v>195</v>
      </c>
      <c r="C75" s="13" t="s">
        <v>128</v>
      </c>
      <c r="E75" s="21" t="n">
        <f aca="false">E19</f>
        <v>2015.29382805</v>
      </c>
      <c r="F75" s="21" t="n">
        <f aca="false">F19</f>
        <v>2136.994293423</v>
      </c>
      <c r="G75" s="21" t="n">
        <f aca="false">G19</f>
        <v>2250.6854361783</v>
      </c>
      <c r="H75" s="21" t="n">
        <f aca="false">H19</f>
        <v>2353.3799973582</v>
      </c>
      <c r="I75" s="21" t="n">
        <f aca="false">I19</f>
        <v>2442.76791473129</v>
      </c>
    </row>
    <row r="76" customFormat="false" ht="15" hidden="false" customHeight="false" outlineLevel="0" collapsed="false">
      <c r="B76" s="13" t="s">
        <v>244</v>
      </c>
      <c r="C76" s="13" t="s">
        <v>128</v>
      </c>
      <c r="E76" s="21" t="n">
        <f aca="false">-E19*Inputs!$C$33</f>
        <v>-366.7834767051</v>
      </c>
      <c r="F76" s="21" t="n">
        <f aca="false">-F19*Inputs!$C$33</f>
        <v>-388.932961402986</v>
      </c>
      <c r="G76" s="21" t="n">
        <f aca="false">-G19*Inputs!$C$33</f>
        <v>-409.624749384451</v>
      </c>
      <c r="H76" s="21" t="n">
        <f aca="false">-H19*Inputs!$C$33</f>
        <v>-428.315159519193</v>
      </c>
      <c r="I76" s="21" t="n">
        <f aca="false">-I19*Inputs!$C$33</f>
        <v>-444.583760481095</v>
      </c>
    </row>
    <row r="77" customFormat="false" ht="15" hidden="false" customHeight="false" outlineLevel="0" collapsed="false">
      <c r="B77" s="13" t="s">
        <v>245</v>
      </c>
      <c r="C77" s="13" t="s">
        <v>128</v>
      </c>
      <c r="E77" s="21" t="n">
        <f aca="false">E55</f>
        <v>228.1464711</v>
      </c>
      <c r="F77" s="21" t="n">
        <f aca="false">F55</f>
        <v>238.4249831505</v>
      </c>
      <c r="G77" s="21" t="n">
        <f aca="false">G55</f>
        <v>249.051257282025</v>
      </c>
      <c r="H77" s="21" t="n">
        <f aca="false">H55</f>
        <v>259.352081341516</v>
      </c>
      <c r="I77" s="21" t="n">
        <f aca="false">I55</f>
        <v>269.202994684673</v>
      </c>
    </row>
    <row r="78" customFormat="false" ht="15" hidden="false" customHeight="false" outlineLevel="0" collapsed="false">
      <c r="B78" s="13" t="s">
        <v>231</v>
      </c>
      <c r="C78" s="13" t="s">
        <v>128</v>
      </c>
      <c r="E78" s="21" t="n">
        <f aca="false">-E59</f>
        <v>-300</v>
      </c>
      <c r="F78" s="21" t="n">
        <f aca="false">-F59</f>
        <v>-291.4083127395</v>
      </c>
      <c r="G78" s="21" t="n">
        <f aca="false">-G59</f>
        <v>-304.395981122475</v>
      </c>
      <c r="H78" s="21" t="n">
        <f aca="false">-H59</f>
        <v>-316.985877195186</v>
      </c>
      <c r="I78" s="21" t="n">
        <f aca="false">-I59</f>
        <v>-329.025882392378</v>
      </c>
    </row>
    <row r="79" customFormat="false" ht="15" hidden="false" customHeight="false" outlineLevel="0" collapsed="false">
      <c r="B79" s="13" t="s">
        <v>229</v>
      </c>
      <c r="C79" s="13" t="s">
        <v>128</v>
      </c>
      <c r="E79" s="21" t="n">
        <f aca="false">E57</f>
        <v>18.3983418321373</v>
      </c>
      <c r="F79" s="21" t="n">
        <f aca="false">F57</f>
        <v>15.4767391571155</v>
      </c>
      <c r="G79" s="21" t="n">
        <f aca="false">G57</f>
        <v>14.9225663456671</v>
      </c>
      <c r="H79" s="21" t="n">
        <f aca="false">H57</f>
        <v>14.6021691385536</v>
      </c>
      <c r="I79" s="21" t="n">
        <f aca="false">I57</f>
        <v>12.8115851068395</v>
      </c>
    </row>
    <row r="80" customFormat="false" ht="15" hidden="false" customHeight="false" outlineLevel="0" collapsed="false">
      <c r="B80" s="15" t="s">
        <v>246</v>
      </c>
      <c r="C80" s="13" t="s">
        <v>128</v>
      </c>
      <c r="E80" s="30" t="n">
        <f aca="false">SUM(E75:E79)</f>
        <v>1595.05516427704</v>
      </c>
      <c r="F80" s="30" t="n">
        <f aca="false">SUM(F75:F79)</f>
        <v>1710.55474158813</v>
      </c>
      <c r="G80" s="30" t="n">
        <f aca="false">SUM(G75:G79)</f>
        <v>1800.63852929907</v>
      </c>
      <c r="H80" s="30" t="n">
        <f aca="false">SUM(H75:H79)</f>
        <v>1882.03321112389</v>
      </c>
      <c r="I80" s="30" t="n">
        <f aca="false">SUM(I75:I79)</f>
        <v>1951.17285164933</v>
      </c>
    </row>
    <row r="81" customFormat="false" ht="15" hidden="false" customHeight="false" outlineLevel="0" collapsed="false">
      <c r="B81" s="13" t="s">
        <v>247</v>
      </c>
      <c r="C81" s="13" t="s">
        <v>174</v>
      </c>
      <c r="E81" s="34" t="n">
        <f aca="false">WACC!$C$28</f>
        <v>0.734246575342466</v>
      </c>
      <c r="F81" s="34" t="n">
        <f aca="false">1</f>
        <v>1</v>
      </c>
      <c r="G81" s="34" t="n">
        <f aca="false">1</f>
        <v>1</v>
      </c>
      <c r="H81" s="34" t="n">
        <f aca="false">1</f>
        <v>1</v>
      </c>
      <c r="I81" s="34" t="n">
        <f aca="false">1</f>
        <v>1</v>
      </c>
    </row>
    <row r="82" customFormat="false" ht="15" hidden="false" customHeight="false" outlineLevel="0" collapsed="false">
      <c r="B82" s="13" t="s">
        <v>248</v>
      </c>
      <c r="C82" s="13" t="s">
        <v>128</v>
      </c>
      <c r="E82" s="21" t="n">
        <f aca="false">E80*E81</f>
        <v>1171.16379185273</v>
      </c>
      <c r="F82" s="21" t="n">
        <f aca="false">F80*F81</f>
        <v>1710.55474158813</v>
      </c>
      <c r="G82" s="21" t="n">
        <f aca="false">G80*G81</f>
        <v>1800.63852929907</v>
      </c>
      <c r="H82" s="21" t="n">
        <f aca="false">H80*H81</f>
        <v>1882.03321112389</v>
      </c>
      <c r="I82" s="21" t="n">
        <f aca="false">I80*I81</f>
        <v>1951.17285164933</v>
      </c>
    </row>
    <row r="83" customFormat="false" ht="15" hidden="false" customHeight="false" outlineLevel="0" collapsed="false">
      <c r="B83" s="13" t="s">
        <v>249</v>
      </c>
      <c r="C83" s="13" t="s">
        <v>250</v>
      </c>
      <c r="E83" s="34" t="n">
        <f aca="false">WACC!$C$28/2</f>
        <v>0.367123287671233</v>
      </c>
      <c r="F83" s="34" t="n">
        <f aca="false">WACC!$C$28+1-0.5</f>
        <v>1.23424657534247</v>
      </c>
      <c r="G83" s="34" t="n">
        <f aca="false">WACC!$C$28+2-0.5</f>
        <v>2.23424657534247</v>
      </c>
      <c r="H83" s="34" t="n">
        <f aca="false">WACC!$C$28+3-0.5</f>
        <v>3.23424657534247</v>
      </c>
      <c r="I83" s="34" t="n">
        <f aca="false">WACC!$C$28+4-0.5</f>
        <v>4.23424657534247</v>
      </c>
    </row>
    <row r="84" customFormat="false" ht="15" hidden="false" customHeight="false" outlineLevel="0" collapsed="false">
      <c r="B84" s="13" t="s">
        <v>251</v>
      </c>
      <c r="C84" s="13" t="s">
        <v>174</v>
      </c>
      <c r="E84" s="35" t="n">
        <f aca="false">1/(1+WACC!$C$27)^E83</f>
        <v>0.963266299229137</v>
      </c>
      <c r="F84" s="35" t="n">
        <f aca="false">1/(1+WACC!$C$27)^F83</f>
        <v>0.881771898544091</v>
      </c>
      <c r="G84" s="35" t="n">
        <f aca="false">1/(1+WACC!$C$27)^G83</f>
        <v>0.796312066679301</v>
      </c>
      <c r="H84" s="35" t="n">
        <f aca="false">1/(1+WACC!$C$27)^H83</f>
        <v>0.719134856288859</v>
      </c>
      <c r="I84" s="35" t="n">
        <f aca="false">1/(1+WACC!$C$27)^I83</f>
        <v>0.649437529794299</v>
      </c>
    </row>
    <row r="85" customFormat="false" ht="15" hidden="false" customHeight="false" outlineLevel="0" collapsed="false">
      <c r="B85" s="22" t="s">
        <v>252</v>
      </c>
      <c r="C85" s="22" t="s">
        <v>128</v>
      </c>
      <c r="D85" s="24"/>
      <c r="E85" s="31" t="n">
        <f aca="false">E82*E84</f>
        <v>1128.14261156914</v>
      </c>
      <c r="F85" s="31" t="n">
        <f aca="false">F82*F84</f>
        <v>1508.31910205376</v>
      </c>
      <c r="G85" s="31" t="n">
        <f aca="false">G82*G84</f>
        <v>1433.87018860852</v>
      </c>
      <c r="H85" s="31" t="n">
        <f aca="false">H82*H84</f>
        <v>1353.43568281244</v>
      </c>
      <c r="I85" s="31" t="n">
        <f aca="false">I82*I84</f>
        <v>1267.16487697684</v>
      </c>
      <c r="J85" s="24"/>
    </row>
    <row r="87" customFormat="false" ht="15" hidden="false" customHeight="false" outlineLevel="0" collapsed="false">
      <c r="B87" s="11" t="s">
        <v>253</v>
      </c>
      <c r="C87" s="12"/>
      <c r="D87" s="12"/>
      <c r="E87" s="12"/>
      <c r="F87" s="12"/>
      <c r="G87" s="12"/>
      <c r="H87" s="12"/>
      <c r="I87" s="12"/>
      <c r="J87" s="12"/>
    </row>
    <row r="88" customFormat="false" ht="15" hidden="false" customHeight="false" outlineLevel="0" collapsed="false">
      <c r="B88" s="3" t="s">
        <v>39</v>
      </c>
      <c r="C88" s="3" t="s">
        <v>104</v>
      </c>
      <c r="D88" s="3" t="s">
        <v>40</v>
      </c>
      <c r="E88" s="3"/>
      <c r="F88" s="3"/>
      <c r="G88" s="3"/>
      <c r="H88" s="3"/>
      <c r="I88" s="3"/>
      <c r="J88" s="3" t="s">
        <v>69</v>
      </c>
    </row>
    <row r="89" customFormat="false" ht="15" hidden="false" customHeight="false" outlineLevel="0" collapsed="false">
      <c r="B89" s="13" t="s">
        <v>254</v>
      </c>
      <c r="C89" s="13" t="s">
        <v>128</v>
      </c>
      <c r="D89" s="21" t="n">
        <f aca="false">SUM(E85:I85)</f>
        <v>6690.9324620207</v>
      </c>
    </row>
    <row r="90" customFormat="false" ht="15" hidden="false" customHeight="false" outlineLevel="0" collapsed="false">
      <c r="B90" s="13" t="s">
        <v>255</v>
      </c>
      <c r="C90" s="13" t="s">
        <v>128</v>
      </c>
      <c r="D90" s="21" t="n">
        <f aca="false">I80*(1+Inputs!$C$49)/(WACC!$C$27-Inputs!$C$49)</f>
        <v>25992.2453742524</v>
      </c>
      <c r="J90" s="5" t="s">
        <v>256</v>
      </c>
    </row>
    <row r="91" customFormat="false" ht="15" hidden="false" customHeight="false" outlineLevel="0" collapsed="false">
      <c r="B91" s="13" t="s">
        <v>257</v>
      </c>
      <c r="C91" s="13" t="s">
        <v>128</v>
      </c>
      <c r="D91" s="21" t="n">
        <f aca="false">D90/(1+WACC!$C$27)^(WACC!$C$28+4)</f>
        <v>16041.4898803424</v>
      </c>
    </row>
    <row r="92" customFormat="false" ht="15" hidden="false" customHeight="false" outlineLevel="0" collapsed="false">
      <c r="B92" s="15" t="s">
        <v>258</v>
      </c>
      <c r="C92" s="13" t="s">
        <v>128</v>
      </c>
      <c r="D92" s="30" t="n">
        <f aca="false">D89+D91</f>
        <v>22732.4223423631</v>
      </c>
    </row>
    <row r="93" customFormat="false" ht="15" hidden="false" customHeight="false" outlineLevel="0" collapsed="false">
      <c r="B93" s="13" t="s">
        <v>259</v>
      </c>
      <c r="C93" s="13" t="s">
        <v>128</v>
      </c>
      <c r="D93" s="21" t="n">
        <f aca="false">-Historicals!$E$79</f>
        <v>-2379</v>
      </c>
      <c r="J93" s="5" t="s">
        <v>260</v>
      </c>
    </row>
    <row r="94" customFormat="false" ht="15" hidden="false" customHeight="false" outlineLevel="0" collapsed="false">
      <c r="B94" s="13" t="s">
        <v>261</v>
      </c>
      <c r="C94" s="13" t="s">
        <v>128</v>
      </c>
      <c r="D94" s="21" t="n">
        <f aca="false">Historicals!$E$64+Historicals!$E$65</f>
        <v>1152</v>
      </c>
      <c r="J94" s="5" t="s">
        <v>260</v>
      </c>
    </row>
    <row r="95" customFormat="false" ht="15" hidden="false" customHeight="false" outlineLevel="0" collapsed="false">
      <c r="B95" s="15" t="s">
        <v>262</v>
      </c>
      <c r="C95" s="13" t="s">
        <v>128</v>
      </c>
      <c r="D95" s="30" t="n">
        <f aca="false">SUM(D92:D94)</f>
        <v>21505.4223423631</v>
      </c>
    </row>
    <row r="96" customFormat="false" ht="15" hidden="false" customHeight="false" outlineLevel="0" collapsed="false">
      <c r="B96" s="13" t="s">
        <v>263</v>
      </c>
      <c r="C96" s="13" t="s">
        <v>167</v>
      </c>
      <c r="D96" s="26" t="n">
        <f aca="false">Inputs!$C$56+Inputs!$C$57</f>
        <v>205.591678</v>
      </c>
    </row>
    <row r="97" customFormat="false" ht="15" hidden="false" customHeight="false" outlineLevel="0" collapsed="false">
      <c r="B97" s="15" t="s">
        <v>51</v>
      </c>
      <c r="C97" s="13" t="s">
        <v>142</v>
      </c>
      <c r="D97" s="16" t="n">
        <f aca="false">D95/D96</f>
        <v>104.602591659197</v>
      </c>
    </row>
    <row r="98" customFormat="false" ht="15" hidden="false" customHeight="false" outlineLevel="0" collapsed="false">
      <c r="B98" s="13" t="s">
        <v>264</v>
      </c>
      <c r="C98" s="13" t="s">
        <v>106</v>
      </c>
      <c r="D98" s="17" t="n">
        <f aca="false">D97/Inputs!$C$53-1</f>
        <v>-0.0968520837575796</v>
      </c>
    </row>
    <row r="99" customFormat="false" ht="15" hidden="false" customHeight="false" outlineLevel="0" collapsed="false">
      <c r="B99" s="13" t="s">
        <v>265</v>
      </c>
      <c r="C99" s="13" t="s">
        <v>106</v>
      </c>
      <c r="D99" s="17" t="n">
        <f aca="false">D91/D92</f>
        <v>0.705665662847036</v>
      </c>
    </row>
    <row r="100" customFormat="false" ht="15" hidden="false" customHeight="false" outlineLevel="0" collapsed="false">
      <c r="B100" s="22" t="s">
        <v>266</v>
      </c>
      <c r="C100" s="22" t="s">
        <v>174</v>
      </c>
      <c r="D100" s="36" t="n">
        <f aca="false">D90/(I19+I55)</f>
        <v>9.58426408041742</v>
      </c>
      <c r="E100" s="24"/>
      <c r="F100" s="24"/>
      <c r="G100" s="24"/>
      <c r="H100" s="24"/>
      <c r="I100" s="24"/>
      <c r="J100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9" min="4" style="0" width="13"/>
    <col collapsed="false" customWidth="true" hidden="false" outlineLevel="0" max="10" min="10" style="0" width="50"/>
  </cols>
  <sheetData>
    <row r="2" customFormat="false" ht="15" hidden="false" customHeight="false" outlineLevel="0" collapsed="false">
      <c r="B2" s="8" t="s">
        <v>268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B3" s="10" t="s">
        <v>181</v>
      </c>
    </row>
    <row r="5" customFormat="false" ht="15" hidden="false" customHeight="false" outlineLevel="0" collapsed="false">
      <c r="B5" s="11" t="s">
        <v>182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B6" s="10" t="s">
        <v>183</v>
      </c>
    </row>
    <row r="7" customFormat="false" ht="15" hidden="false" customHeight="false" outlineLevel="0" collapsed="false">
      <c r="B7" s="3" t="s">
        <v>184</v>
      </c>
      <c r="C7" s="3" t="s">
        <v>104</v>
      </c>
      <c r="D7" s="3" t="s">
        <v>185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69</v>
      </c>
    </row>
    <row r="8" customFormat="false" ht="15" hidden="false" customHeight="false" outlineLevel="0" collapsed="false">
      <c r="B8" s="13" t="s">
        <v>186</v>
      </c>
      <c r="C8" s="13" t="s">
        <v>128</v>
      </c>
      <c r="D8" s="21" t="n">
        <f aca="false">Historicals!$E$38</f>
        <v>6914.7</v>
      </c>
      <c r="E8" s="21" t="n">
        <f aca="false">D8*(1+Inputs!$C$9)</f>
        <v>7537.023</v>
      </c>
      <c r="F8" s="21" t="n">
        <f aca="false">E8*(1+Inputs!$D$9)</f>
        <v>8215.35507</v>
      </c>
      <c r="G8" s="21" t="n">
        <f aca="false">F8*(1+Inputs!$E$9)</f>
        <v>8872.5834756</v>
      </c>
      <c r="H8" s="21" t="n">
        <f aca="false">G8*(1+Inputs!$F$9)</f>
        <v>9493.664318892</v>
      </c>
      <c r="I8" s="21" t="n">
        <f aca="false">H8*(1+Inputs!$G$9)</f>
        <v>10063.2841780255</v>
      </c>
    </row>
    <row r="9" customFormat="false" ht="15" hidden="false" customHeight="false" outlineLevel="0" collapsed="false">
      <c r="B9" s="13" t="s">
        <v>187</v>
      </c>
      <c r="C9" s="13" t="s">
        <v>106</v>
      </c>
      <c r="D9" s="17" t="n">
        <f aca="false">Historicals!$E$38/Historicals!$D$38-1</f>
        <v>0.235098687148343</v>
      </c>
      <c r="E9" s="17" t="n">
        <f aca="false">E8/D8-1</f>
        <v>0.0900000000000001</v>
      </c>
      <c r="F9" s="17" t="n">
        <f aca="false">F8/E8-1</f>
        <v>0.0900000000000001</v>
      </c>
      <c r="G9" s="17" t="n">
        <f aca="false">G8/F8-1</f>
        <v>0.0800000000000001</v>
      </c>
      <c r="H9" s="17" t="n">
        <f aca="false">H8/G8-1</f>
        <v>0.0700000000000001</v>
      </c>
      <c r="I9" s="17" t="n">
        <f aca="false">I8/H8-1</f>
        <v>0.0600000000000001</v>
      </c>
    </row>
    <row r="10" customFormat="false" ht="15" hidden="false" customHeight="false" outlineLevel="0" collapsed="false">
      <c r="B10" s="13" t="s">
        <v>188</v>
      </c>
      <c r="C10" s="13" t="s">
        <v>128</v>
      </c>
      <c r="D10" s="21" t="n">
        <f aca="false">Historicals!$E$39</f>
        <v>1074.9</v>
      </c>
      <c r="E10" s="21" t="n">
        <f aca="false">D10*(1+Inputs!$C$15)</f>
        <v>1010.406</v>
      </c>
      <c r="F10" s="21" t="n">
        <f aca="false">E10*(1+Inputs!$D$15)</f>
        <v>1010.406</v>
      </c>
      <c r="G10" s="21" t="n">
        <f aca="false">F10*(1+Inputs!$E$15)</f>
        <v>1030.61412</v>
      </c>
      <c r="H10" s="21" t="n">
        <f aca="false">G10*(1+Inputs!$F$15)</f>
        <v>1061.5325436</v>
      </c>
      <c r="I10" s="21" t="n">
        <f aca="false">H10*(1+Inputs!$G$15)</f>
        <v>1093.378519908</v>
      </c>
    </row>
    <row r="11" customFormat="false" ht="15" hidden="false" customHeight="false" outlineLevel="0" collapsed="false">
      <c r="B11" s="13" t="s">
        <v>187</v>
      </c>
      <c r="C11" s="13" t="s">
        <v>106</v>
      </c>
      <c r="D11" s="17" t="n">
        <f aca="false">Historicals!$E$39/Historicals!$D$39-1</f>
        <v>-0.102080026731267</v>
      </c>
      <c r="E11" s="17" t="n">
        <f aca="false">E10/D10-1</f>
        <v>-0.0600000000000001</v>
      </c>
      <c r="F11" s="17" t="n">
        <f aca="false">F10/E10-1</f>
        <v>0</v>
      </c>
      <c r="G11" s="17" t="n">
        <f aca="false">G10/F10-1</f>
        <v>0.02</v>
      </c>
      <c r="H11" s="17" t="n">
        <f aca="false">H10/G10-1</f>
        <v>0.03</v>
      </c>
      <c r="I11" s="17" t="n">
        <f aca="false">I10/H10-1</f>
        <v>0.03</v>
      </c>
    </row>
    <row r="12" customFormat="false" ht="15" hidden="false" customHeight="false" outlineLevel="0" collapsed="false">
      <c r="B12" s="15" t="s">
        <v>189</v>
      </c>
      <c r="C12" s="13" t="s">
        <v>128</v>
      </c>
      <c r="D12" s="30" t="n">
        <f aca="false">D8+D10</f>
        <v>7989.6</v>
      </c>
      <c r="E12" s="30" t="n">
        <f aca="false">E8+E10</f>
        <v>8547.429</v>
      </c>
      <c r="F12" s="30" t="n">
        <f aca="false">F8+F10</f>
        <v>9225.76107</v>
      </c>
      <c r="G12" s="30" t="n">
        <f aca="false">G8+G10</f>
        <v>9903.1975956</v>
      </c>
      <c r="H12" s="30" t="n">
        <f aca="false">H8+H10</f>
        <v>10555.196862492</v>
      </c>
      <c r="I12" s="30" t="n">
        <f aca="false">I8+I10</f>
        <v>11156.6626979335</v>
      </c>
    </row>
    <row r="13" customFormat="false" ht="15" hidden="false" customHeight="false" outlineLevel="0" collapsed="false">
      <c r="B13" s="13" t="s">
        <v>187</v>
      </c>
      <c r="C13" s="13" t="s">
        <v>106</v>
      </c>
      <c r="E13" s="17" t="n">
        <f aca="false">E12/D12-1</f>
        <v>0.0698193902072695</v>
      </c>
      <c r="F13" s="17" t="n">
        <f aca="false">F12/E12-1</f>
        <v>0.079360948186876</v>
      </c>
      <c r="G13" s="17" t="n">
        <f aca="false">G12/F12-1</f>
        <v>0.0734287957882265</v>
      </c>
      <c r="H13" s="17" t="n">
        <f aca="false">H12/G12-1</f>
        <v>0.0658372470707527</v>
      </c>
      <c r="I13" s="17" t="n">
        <f aca="false">I12/H12-1</f>
        <v>0.0569829102457422</v>
      </c>
    </row>
    <row r="14" customFormat="false" ht="15" hidden="false" customHeight="false" outlineLevel="0" collapsed="false">
      <c r="B14" s="13" t="s">
        <v>190</v>
      </c>
      <c r="C14" s="13" t="s">
        <v>128</v>
      </c>
      <c r="D14" s="21" t="n">
        <f aca="false">D12-D15</f>
        <v>1866.5</v>
      </c>
      <c r="E14" s="21" t="n">
        <f aca="false">E12-E15</f>
        <v>1965.90867</v>
      </c>
      <c r="F14" s="21" t="n">
        <f aca="false">F12-F15</f>
        <v>2075.79624075</v>
      </c>
      <c r="G14" s="21" t="n">
        <f aca="false">G12-G15</f>
        <v>2198.5098662232</v>
      </c>
      <c r="H14" s="21" t="n">
        <f aca="false">H12-H15</f>
        <v>2322.14330974824</v>
      </c>
      <c r="I14" s="21" t="n">
        <f aca="false">I12-I15</f>
        <v>2454.46579354537</v>
      </c>
    </row>
    <row r="15" customFormat="false" ht="15" hidden="false" customHeight="false" outlineLevel="0" collapsed="false">
      <c r="B15" s="15" t="s">
        <v>191</v>
      </c>
      <c r="C15" s="13" t="s">
        <v>128</v>
      </c>
      <c r="D15" s="30" t="n">
        <f aca="false">Historicals!$E$27</f>
        <v>6123.1</v>
      </c>
      <c r="E15" s="30" t="n">
        <f aca="false">E12*Inputs!$C$21</f>
        <v>6581.52033</v>
      </c>
      <c r="F15" s="30" t="n">
        <f aca="false">F12*Inputs!$D$21</f>
        <v>7149.96482925</v>
      </c>
      <c r="G15" s="30" t="n">
        <f aca="false">G12*Inputs!$E$21</f>
        <v>7704.6877293768</v>
      </c>
      <c r="H15" s="30" t="n">
        <f aca="false">H12*Inputs!$F$21</f>
        <v>8233.05355274376</v>
      </c>
      <c r="I15" s="30" t="n">
        <f aca="false">I12*Inputs!$G$21</f>
        <v>8702.19690438815</v>
      </c>
    </row>
    <row r="16" customFormat="false" ht="15" hidden="false" customHeight="false" outlineLevel="0" collapsed="false">
      <c r="B16" s="13" t="s">
        <v>192</v>
      </c>
      <c r="C16" s="13" t="s">
        <v>106</v>
      </c>
      <c r="D16" s="17" t="n">
        <f aca="false">D15/D12</f>
        <v>0.76638379893862</v>
      </c>
      <c r="E16" s="17" t="n">
        <f aca="false">E15/E12</f>
        <v>0.77</v>
      </c>
      <c r="F16" s="17" t="n">
        <f aca="false">F15/F12</f>
        <v>0.775</v>
      </c>
      <c r="G16" s="17" t="n">
        <f aca="false">G15/G12</f>
        <v>0.778</v>
      </c>
      <c r="H16" s="17" t="n">
        <f aca="false">H15/H12</f>
        <v>0.78</v>
      </c>
      <c r="I16" s="17" t="n">
        <f aca="false">I15/I12</f>
        <v>0.78</v>
      </c>
    </row>
    <row r="17" customFormat="false" ht="15" hidden="false" customHeight="false" outlineLevel="0" collapsed="false">
      <c r="B17" s="13" t="s">
        <v>193</v>
      </c>
      <c r="C17" s="13" t="s">
        <v>128</v>
      </c>
      <c r="D17" s="21" t="n">
        <f aca="false">Historicals!$E$28</f>
        <v>4257.3</v>
      </c>
      <c r="E17" s="21" t="n">
        <f aca="false">E15-E19</f>
        <v>4530.13737</v>
      </c>
      <c r="F17" s="21" t="n">
        <f aca="false">F15-F19</f>
        <v>4843.52456175</v>
      </c>
      <c r="G17" s="21" t="n">
        <f aca="false">G15-G19</f>
        <v>5179.3723424988</v>
      </c>
      <c r="H17" s="21" t="n">
        <f aca="false">H15-H19</f>
        <v>5488.70236849584</v>
      </c>
      <c r="I17" s="21" t="n">
        <f aca="false">I15-I19</f>
        <v>5801.46460292543</v>
      </c>
    </row>
    <row r="18" customFormat="false" ht="15" hidden="false" customHeight="false" outlineLevel="0" collapsed="false">
      <c r="B18" s="13" t="s">
        <v>194</v>
      </c>
      <c r="C18" s="13" t="s">
        <v>106</v>
      </c>
      <c r="D18" s="17" t="n">
        <f aca="false">D17/D12</f>
        <v>0.532855211775308</v>
      </c>
      <c r="E18" s="17" t="n">
        <f aca="false">E17/E12</f>
        <v>0.53</v>
      </c>
      <c r="F18" s="17" t="n">
        <f aca="false">F17/F12</f>
        <v>0.525</v>
      </c>
      <c r="G18" s="17" t="n">
        <f aca="false">G17/G12</f>
        <v>0.523</v>
      </c>
      <c r="H18" s="17" t="n">
        <f aca="false">H17/H12</f>
        <v>0.52</v>
      </c>
      <c r="I18" s="17" t="n">
        <f aca="false">I17/I12</f>
        <v>0.52</v>
      </c>
    </row>
    <row r="19" customFormat="false" ht="15" hidden="false" customHeight="false" outlineLevel="0" collapsed="false">
      <c r="B19" s="15" t="s">
        <v>195</v>
      </c>
      <c r="C19" s="13" t="s">
        <v>128</v>
      </c>
      <c r="D19" s="30" t="n">
        <f aca="false">Historicals!$E$29</f>
        <v>1865.8</v>
      </c>
      <c r="E19" s="30" t="n">
        <f aca="false">E12*Inputs!$C$27</f>
        <v>2051.38296</v>
      </c>
      <c r="F19" s="30" t="n">
        <f aca="false">F12*Inputs!$D$27</f>
        <v>2306.4402675</v>
      </c>
      <c r="G19" s="30" t="n">
        <f aca="false">G12*Inputs!$E$27</f>
        <v>2525.315386878</v>
      </c>
      <c r="H19" s="30" t="n">
        <f aca="false">H12*Inputs!$F$27</f>
        <v>2744.35118424792</v>
      </c>
      <c r="I19" s="30" t="n">
        <f aca="false">I12*Inputs!$G$27</f>
        <v>2900.73230146272</v>
      </c>
    </row>
    <row r="20" customFormat="false" ht="15" hidden="false" customHeight="false" outlineLevel="0" collapsed="false">
      <c r="B20" s="13" t="s">
        <v>196</v>
      </c>
      <c r="C20" s="13" t="s">
        <v>106</v>
      </c>
      <c r="D20" s="17" t="n">
        <f aca="false">D19/D12</f>
        <v>0.233528587163312</v>
      </c>
      <c r="E20" s="17" t="n">
        <f aca="false">E19/E12</f>
        <v>0.24</v>
      </c>
      <c r="F20" s="17" t="n">
        <f aca="false">F19/F12</f>
        <v>0.25</v>
      </c>
      <c r="G20" s="17" t="n">
        <f aca="false">G19/G12</f>
        <v>0.255</v>
      </c>
      <c r="H20" s="17" t="n">
        <f aca="false">H19/H12</f>
        <v>0.26</v>
      </c>
      <c r="I20" s="17" t="n">
        <f aca="false">I19/I12</f>
        <v>0.26</v>
      </c>
    </row>
    <row r="21" customFormat="false" ht="28.35" hidden="false" customHeight="false" outlineLevel="0" collapsed="false">
      <c r="B21" s="13" t="s">
        <v>197</v>
      </c>
      <c r="C21" s="13" t="s">
        <v>128</v>
      </c>
      <c r="E21" s="21" t="n">
        <f aca="false">Historicals!$D$98*Historicals!$C$98+Historicals!$D$99*Historicals!$C$99+Historicals!$D$100*Historicals!$C$100+Historicals!$D$101*Historicals!$C$101</f>
        <v>111.10975</v>
      </c>
      <c r="F21" s="21" t="n">
        <f aca="false">Historicals!$D$98*WACC!$C$11+Historicals!$D$99*Historicals!$C$99+Historicals!$D$100*Historicals!$C$100+Historicals!$D$101*Historicals!$C$101</f>
        <v>119.536162592896</v>
      </c>
      <c r="G21" s="21" t="n">
        <f aca="false">Historicals!$D$98*WACC!$C$11+Historicals!$D$99*Historicals!$C$99+Historicals!$D$100*Historicals!$C$100+Historicals!$D$101*Historicals!$C$101</f>
        <v>119.536162592896</v>
      </c>
      <c r="H21" s="21" t="n">
        <f aca="false">Historicals!$D$98*WACC!$C$11+Historicals!$D$99*Historicals!$C$99+Historicals!$D$100*Historicals!$C$100+Historicals!$D$101*Historicals!$C$101</f>
        <v>119.536162592896</v>
      </c>
      <c r="I21" s="21" t="n">
        <f aca="false">Historicals!$D$98*WACC!$C$11+Historicals!$D$99*Historicals!$C$99+Historicals!$D$100*Historicals!$C$100+Historicals!$D$101*Historicals!$C$101</f>
        <v>119.536162592896</v>
      </c>
      <c r="J21" s="5" t="s">
        <v>198</v>
      </c>
    </row>
    <row r="22" customFormat="false" ht="15" hidden="false" customHeight="false" outlineLevel="0" collapsed="false">
      <c r="B22" s="13" t="s">
        <v>155</v>
      </c>
      <c r="C22" s="13" t="s">
        <v>128</v>
      </c>
      <c r="E22" s="21" t="n">
        <f aca="false">(D33+D34)*Inputs!$C$48</f>
        <v>46.08</v>
      </c>
      <c r="F22" s="21" t="n">
        <f aca="false">(E33+E34)*Inputs!$C$48</f>
        <v>44.9888558818849</v>
      </c>
      <c r="G22" s="21" t="n">
        <f aca="false">(F33+F34)*Inputs!$C$48</f>
        <v>44.9888558818849</v>
      </c>
      <c r="H22" s="21" t="n">
        <f aca="false">(G33+G34)*Inputs!$C$48</f>
        <v>44.9888558818849</v>
      </c>
      <c r="I22" s="21" t="n">
        <f aca="false">(H33+H34)*Inputs!$C$48</f>
        <v>44.9888558818849</v>
      </c>
      <c r="J22" s="5" t="s">
        <v>199</v>
      </c>
    </row>
    <row r="23" customFormat="false" ht="15" hidden="false" customHeight="false" outlineLevel="0" collapsed="false">
      <c r="B23" s="13" t="s">
        <v>200</v>
      </c>
      <c r="C23" s="13" t="s">
        <v>128</v>
      </c>
      <c r="D23" s="21" t="n">
        <f aca="false">Historicals!$E$30+Historicals!$E$31</f>
        <v>53.8</v>
      </c>
      <c r="E23" s="21" t="n">
        <f aca="false">E21-E22</f>
        <v>65.02975</v>
      </c>
      <c r="F23" s="21" t="n">
        <f aca="false">F21-F22</f>
        <v>74.547306711011</v>
      </c>
      <c r="G23" s="21" t="n">
        <f aca="false">G21-G22</f>
        <v>74.547306711011</v>
      </c>
      <c r="H23" s="21" t="n">
        <f aca="false">H21-H22</f>
        <v>74.547306711011</v>
      </c>
      <c r="I23" s="21" t="n">
        <f aca="false">I21-I22</f>
        <v>74.547306711011</v>
      </c>
    </row>
    <row r="24" customFormat="false" ht="15" hidden="false" customHeight="false" outlineLevel="0" collapsed="false">
      <c r="B24" s="13" t="s">
        <v>201</v>
      </c>
      <c r="C24" s="13" t="s">
        <v>128</v>
      </c>
      <c r="D24" s="21" t="n">
        <f aca="false">D19-D23</f>
        <v>1812</v>
      </c>
      <c r="E24" s="21" t="n">
        <f aca="false">E19-E23</f>
        <v>1986.35321</v>
      </c>
      <c r="F24" s="21" t="n">
        <f aca="false">F19-F23</f>
        <v>2231.89296078899</v>
      </c>
      <c r="G24" s="21" t="n">
        <f aca="false">G19-G23</f>
        <v>2450.76808016699</v>
      </c>
      <c r="H24" s="21" t="n">
        <f aca="false">H19-H23</f>
        <v>2669.80387753691</v>
      </c>
      <c r="I24" s="21" t="n">
        <f aca="false">I19-I23</f>
        <v>2826.18499475171</v>
      </c>
    </row>
    <row r="25" customFormat="false" ht="15" hidden="false" customHeight="false" outlineLevel="0" collapsed="false">
      <c r="B25" s="13" t="s">
        <v>202</v>
      </c>
      <c r="C25" s="13" t="s">
        <v>128</v>
      </c>
      <c r="D25" s="21" t="n">
        <f aca="false">Historicals!$E$32</f>
        <v>330</v>
      </c>
      <c r="E25" s="21" t="n">
        <f aca="false">E24*Inputs!$C$33</f>
        <v>361.51628422</v>
      </c>
      <c r="F25" s="21" t="n">
        <f aca="false">F24*Inputs!$C$33</f>
        <v>406.204518863596</v>
      </c>
      <c r="G25" s="21" t="n">
        <f aca="false">G24*Inputs!$C$33</f>
        <v>446.039790590392</v>
      </c>
      <c r="H25" s="21" t="n">
        <f aca="false">H24*Inputs!$C$33</f>
        <v>485.904305711718</v>
      </c>
      <c r="I25" s="21" t="n">
        <f aca="false">I24*Inputs!$C$33</f>
        <v>514.36566904481</v>
      </c>
    </row>
    <row r="26" customFormat="false" ht="15" hidden="false" customHeight="false" outlineLevel="0" collapsed="false">
      <c r="B26" s="15" t="s">
        <v>203</v>
      </c>
      <c r="C26" s="13" t="s">
        <v>128</v>
      </c>
      <c r="D26" s="30" t="n">
        <f aca="false">D24-D25</f>
        <v>1482</v>
      </c>
      <c r="E26" s="30" t="n">
        <f aca="false">E24-E25</f>
        <v>1624.83692578</v>
      </c>
      <c r="F26" s="30" t="n">
        <f aca="false">F24-F25</f>
        <v>1825.68844192539</v>
      </c>
      <c r="G26" s="30" t="n">
        <f aca="false">G24-G25</f>
        <v>2004.7282895766</v>
      </c>
      <c r="H26" s="30" t="n">
        <f aca="false">H24-H25</f>
        <v>2183.89957182519</v>
      </c>
      <c r="I26" s="30" t="n">
        <f aca="false">I24-I25</f>
        <v>2311.8193257069</v>
      </c>
    </row>
    <row r="27" customFormat="false" ht="15" hidden="false" customHeight="false" outlineLevel="0" collapsed="false">
      <c r="B27" s="13" t="s">
        <v>204</v>
      </c>
      <c r="C27" s="13" t="s">
        <v>167</v>
      </c>
      <c r="D27" s="26" t="n">
        <f aca="false">Historicals!$E$20</f>
        <v>210.2</v>
      </c>
      <c r="E27" s="26" t="n">
        <f aca="false">(D70+E70)/2+Inputs!$C$57</f>
        <v>201.259106605549</v>
      </c>
      <c r="F27" s="26" t="n">
        <f aca="false">(E70+F70)/2+Inputs!$C$57</f>
        <v>192.25850547362</v>
      </c>
      <c r="G27" s="26" t="n">
        <f aca="false">(F70+G70)/2+Inputs!$C$57</f>
        <v>182.731812076614</v>
      </c>
      <c r="H27" s="26" t="n">
        <f aca="false">(G70+H70)/2+Inputs!$C$57</f>
        <v>172.877196645279</v>
      </c>
      <c r="I27" s="26" t="n">
        <f aca="false">(H70+I70)/2+Inputs!$C$57</f>
        <v>162.959374680579</v>
      </c>
    </row>
    <row r="28" customFormat="false" ht="15" hidden="false" customHeight="false" outlineLevel="0" collapsed="false">
      <c r="B28" s="15" t="s">
        <v>205</v>
      </c>
      <c r="C28" s="13" t="s">
        <v>142</v>
      </c>
      <c r="D28" s="16" t="n">
        <f aca="false">D26/D27</f>
        <v>7.05042816365366</v>
      </c>
      <c r="E28" s="16" t="n">
        <f aca="false">E26/E27</f>
        <v>8.07335853360685</v>
      </c>
      <c r="F28" s="16" t="n">
        <f aca="false">F26/F27</f>
        <v>9.49600870675602</v>
      </c>
      <c r="G28" s="16" t="n">
        <f aca="false">G26/G27</f>
        <v>10.9708773026126</v>
      </c>
      <c r="H28" s="16" t="n">
        <f aca="false">H26/H27</f>
        <v>12.6326641928737</v>
      </c>
      <c r="I28" s="16" t="n">
        <f aca="false">I26/I27</f>
        <v>14.1864764162133</v>
      </c>
    </row>
    <row r="29" customFormat="false" ht="15" hidden="false" customHeight="false" outlineLevel="0" collapsed="false">
      <c r="B29" s="22" t="s">
        <v>187</v>
      </c>
      <c r="C29" s="22" t="s">
        <v>106</v>
      </c>
      <c r="D29" s="24"/>
      <c r="E29" s="20" t="n">
        <f aca="false">E28/D28-1</f>
        <v>0.145087694847611</v>
      </c>
      <c r="F29" s="20" t="n">
        <f aca="false">F28/E28-1</f>
        <v>0.176215408646492</v>
      </c>
      <c r="G29" s="20" t="n">
        <f aca="false">G28/F28-1</f>
        <v>0.155314579146</v>
      </c>
      <c r="H29" s="20" t="n">
        <f aca="false">H28/G28-1</f>
        <v>0.151472561803726</v>
      </c>
      <c r="I29" s="20" t="n">
        <f aca="false">I28/H28-1</f>
        <v>0.122999566806829</v>
      </c>
      <c r="J29" s="24"/>
    </row>
    <row r="31" customFormat="false" ht="15" hidden="false" customHeight="false" outlineLevel="0" collapsed="false">
      <c r="B31" s="11" t="s">
        <v>206</v>
      </c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B32" s="3" t="s">
        <v>184</v>
      </c>
      <c r="C32" s="3" t="s">
        <v>104</v>
      </c>
      <c r="D32" s="3" t="s">
        <v>185</v>
      </c>
      <c r="E32" s="3" t="s">
        <v>99</v>
      </c>
      <c r="F32" s="3" t="s">
        <v>100</v>
      </c>
      <c r="G32" s="3" t="s">
        <v>101</v>
      </c>
      <c r="H32" s="3" t="s">
        <v>102</v>
      </c>
      <c r="I32" s="3" t="s">
        <v>103</v>
      </c>
      <c r="J32" s="3" t="s">
        <v>69</v>
      </c>
    </row>
    <row r="33" customFormat="false" ht="15" hidden="false" customHeight="false" outlineLevel="0" collapsed="false">
      <c r="B33" s="13" t="s">
        <v>207</v>
      </c>
      <c r="C33" s="13" t="s">
        <v>128</v>
      </c>
      <c r="D33" s="21" t="n">
        <f aca="false">Historicals!$E$64</f>
        <v>974.7</v>
      </c>
      <c r="E33" s="21" t="n">
        <f aca="false">E64</f>
        <v>947.421397047124</v>
      </c>
      <c r="F33" s="21" t="n">
        <f aca="false">F64</f>
        <v>947.421397047124</v>
      </c>
      <c r="G33" s="21" t="n">
        <f aca="false">G64</f>
        <v>947.421397047124</v>
      </c>
      <c r="H33" s="21" t="n">
        <f aca="false">H64</f>
        <v>947.421397047124</v>
      </c>
      <c r="I33" s="21" t="n">
        <f aca="false">I64</f>
        <v>947.421397047124</v>
      </c>
    </row>
    <row r="34" customFormat="false" ht="15" hidden="false" customHeight="false" outlineLevel="0" collapsed="false">
      <c r="B34" s="13" t="s">
        <v>208</v>
      </c>
      <c r="C34" s="13" t="s">
        <v>128</v>
      </c>
      <c r="D34" s="21" t="n">
        <f aca="false">Historicals!$E$65</f>
        <v>177.3</v>
      </c>
      <c r="E34" s="21" t="n">
        <f aca="false">D34</f>
        <v>177.3</v>
      </c>
      <c r="F34" s="21" t="n">
        <f aca="false">E34</f>
        <v>177.3</v>
      </c>
      <c r="G34" s="21" t="n">
        <f aca="false">F34</f>
        <v>177.3</v>
      </c>
      <c r="H34" s="21" t="n">
        <f aca="false">G34</f>
        <v>177.3</v>
      </c>
      <c r="I34" s="21" t="n">
        <f aca="false">H34</f>
        <v>177.3</v>
      </c>
    </row>
    <row r="35" customFormat="false" ht="15" hidden="false" customHeight="false" outlineLevel="0" collapsed="false">
      <c r="B35" s="13" t="s">
        <v>209</v>
      </c>
      <c r="C35" s="13" t="s">
        <v>128</v>
      </c>
      <c r="D35" s="21" t="n">
        <f aca="false">Historicals!$E$66</f>
        <v>237.1</v>
      </c>
      <c r="E35" s="21" t="n">
        <f aca="false">E12*Inputs!$C$37/365</f>
        <v>252.910227945206</v>
      </c>
      <c r="F35" s="21" t="n">
        <f aca="false">F12*Inputs!$C$37/365</f>
        <v>272.981423441096</v>
      </c>
      <c r="G35" s="21" t="n">
        <f aca="false">G12*Inputs!$C$37/365</f>
        <v>293.026120636932</v>
      </c>
      <c r="H35" s="21" t="n">
        <f aca="false">H12*Inputs!$C$37/365</f>
        <v>312.318153739489</v>
      </c>
      <c r="I35" s="21" t="n">
        <f aca="false">I12*Inputs!$C$37/365</f>
        <v>330.114951062143</v>
      </c>
    </row>
    <row r="36" customFormat="false" ht="15" hidden="false" customHeight="false" outlineLevel="0" collapsed="false">
      <c r="B36" s="13" t="s">
        <v>210</v>
      </c>
      <c r="C36" s="13" t="s">
        <v>128</v>
      </c>
      <c r="D36" s="21" t="n">
        <f aca="false">Historicals!$E$67</f>
        <v>826.2</v>
      </c>
      <c r="E36" s="21" t="n">
        <f aca="false">E14*Inputs!$C$38/365</f>
        <v>870.385865950685</v>
      </c>
      <c r="F36" s="21" t="n">
        <f aca="false">F14*Inputs!$C$38/365</f>
        <v>919.037458918356</v>
      </c>
      <c r="G36" s="21" t="n">
        <f aca="false">G14*Inputs!$C$38/365</f>
        <v>973.36765584019</v>
      </c>
      <c r="H36" s="21" t="n">
        <f aca="false">H14*Inputs!$C$38/365</f>
        <v>1028.10509275429</v>
      </c>
      <c r="I36" s="21" t="n">
        <f aca="false">I14*Inputs!$C$38/365</f>
        <v>1086.6895129779</v>
      </c>
    </row>
    <row r="37" customFormat="false" ht="15" hidden="false" customHeight="false" outlineLevel="0" collapsed="false">
      <c r="B37" s="13" t="s">
        <v>211</v>
      </c>
      <c r="C37" s="13" t="s">
        <v>128</v>
      </c>
      <c r="D37" s="21" t="n">
        <f aca="false">Historicals!$E$68</f>
        <v>667</v>
      </c>
      <c r="E37" s="21" t="n">
        <f aca="false">D37</f>
        <v>667</v>
      </c>
      <c r="F37" s="21" t="n">
        <f aca="false">E37</f>
        <v>667</v>
      </c>
      <c r="G37" s="21" t="n">
        <f aca="false">F37</f>
        <v>667</v>
      </c>
      <c r="H37" s="21" t="n">
        <f aca="false">G37</f>
        <v>667</v>
      </c>
      <c r="I37" s="21" t="n">
        <f aca="false">H37</f>
        <v>667</v>
      </c>
    </row>
    <row r="38" customFormat="false" ht="15" hidden="false" customHeight="false" outlineLevel="0" collapsed="false">
      <c r="B38" s="13" t="s">
        <v>212</v>
      </c>
      <c r="C38" s="13" t="s">
        <v>128</v>
      </c>
      <c r="D38" s="21" t="n">
        <f aca="false">Historicals!$E$69</f>
        <v>502.1</v>
      </c>
      <c r="E38" s="21" t="n">
        <f aca="false">D38+E59-E55</f>
        <v>571.319417</v>
      </c>
      <c r="F38" s="21" t="n">
        <f aca="false">E38+F59-F55</f>
        <v>626.67398342</v>
      </c>
      <c r="G38" s="21" t="n">
        <f aca="false">F38+G59-G55</f>
        <v>686.0931689936</v>
      </c>
      <c r="H38" s="21" t="n">
        <f aca="false">G38+H59-H55</f>
        <v>749.424350168552</v>
      </c>
      <c r="I38" s="21" t="n">
        <f aca="false">H38+I59-I55</f>
        <v>816.364326356153</v>
      </c>
    </row>
    <row r="39" customFormat="false" ht="15" hidden="false" customHeight="false" outlineLevel="0" collapsed="false">
      <c r="B39" s="13" t="s">
        <v>213</v>
      </c>
      <c r="C39" s="13" t="s">
        <v>128</v>
      </c>
      <c r="D39" s="21" t="n">
        <f aca="false">Historicals!$E$70</f>
        <v>1417.2</v>
      </c>
      <c r="E39" s="21" t="n">
        <f aca="false">D39</f>
        <v>1417.2</v>
      </c>
      <c r="F39" s="21" t="n">
        <f aca="false">E39</f>
        <v>1417.2</v>
      </c>
      <c r="G39" s="21" t="n">
        <f aca="false">F39</f>
        <v>1417.2</v>
      </c>
      <c r="H39" s="21" t="n">
        <f aca="false">G39</f>
        <v>1417.2</v>
      </c>
      <c r="I39" s="21" t="n">
        <f aca="false">H39</f>
        <v>1417.2</v>
      </c>
    </row>
    <row r="40" customFormat="false" ht="15" hidden="false" customHeight="false" outlineLevel="0" collapsed="false">
      <c r="B40" s="13" t="s">
        <v>214</v>
      </c>
      <c r="C40" s="13" t="s">
        <v>128</v>
      </c>
      <c r="D40" s="21" t="n">
        <f aca="false">Historicals!$E$71+Historicals!$E$72</f>
        <v>1674.2</v>
      </c>
      <c r="E40" s="21" t="n">
        <f aca="false">D40</f>
        <v>1674.2</v>
      </c>
      <c r="F40" s="21" t="n">
        <f aca="false">E40</f>
        <v>1674.2</v>
      </c>
      <c r="G40" s="21" t="n">
        <f aca="false">F40</f>
        <v>1674.2</v>
      </c>
      <c r="H40" s="21" t="n">
        <f aca="false">G40</f>
        <v>1674.2</v>
      </c>
      <c r="I40" s="21" t="n">
        <f aca="false">H40</f>
        <v>1674.2</v>
      </c>
    </row>
    <row r="41" customFormat="false" ht="15" hidden="false" customHeight="false" outlineLevel="0" collapsed="false">
      <c r="B41" s="13" t="s">
        <v>215</v>
      </c>
      <c r="C41" s="13" t="s">
        <v>128</v>
      </c>
      <c r="D41" s="21" t="n">
        <f aca="false">Historicals!$E$73</f>
        <v>215.9</v>
      </c>
      <c r="E41" s="21" t="n">
        <f aca="false">D41</f>
        <v>215.9</v>
      </c>
      <c r="F41" s="21" t="n">
        <f aca="false">E41</f>
        <v>215.9</v>
      </c>
      <c r="G41" s="21" t="n">
        <f aca="false">F41</f>
        <v>215.9</v>
      </c>
      <c r="H41" s="21" t="n">
        <f aca="false">G41</f>
        <v>215.9</v>
      </c>
      <c r="I41" s="21" t="n">
        <f aca="false">H41</f>
        <v>215.9</v>
      </c>
    </row>
    <row r="42" customFormat="false" ht="15" hidden="false" customHeight="false" outlineLevel="0" collapsed="false">
      <c r="B42" s="15" t="s">
        <v>216</v>
      </c>
      <c r="C42" s="13" t="s">
        <v>128</v>
      </c>
      <c r="D42" s="30" t="n">
        <f aca="false">SUM(D33:D41)</f>
        <v>6691.7</v>
      </c>
      <c r="E42" s="30" t="n">
        <f aca="false">SUM(E33:E41)</f>
        <v>6793.63690794301</v>
      </c>
      <c r="F42" s="30" t="n">
        <f aca="false">SUM(F33:F41)</f>
        <v>6917.71426282658</v>
      </c>
      <c r="G42" s="30" t="n">
        <f aca="false">SUM(G33:G41)</f>
        <v>7051.50834251784</v>
      </c>
      <c r="H42" s="30" t="n">
        <f aca="false">SUM(H33:H41)</f>
        <v>7188.86899370945</v>
      </c>
      <c r="I42" s="30" t="n">
        <f aca="false">SUM(I33:I41)</f>
        <v>7332.19018744332</v>
      </c>
    </row>
    <row r="43" customFormat="false" ht="15" hidden="false" customHeight="false" outlineLevel="0" collapsed="false">
      <c r="B43" s="13" t="s">
        <v>217</v>
      </c>
      <c r="C43" s="13" t="s">
        <v>128</v>
      </c>
      <c r="D43" s="21" t="n">
        <f aca="false">Historicals!$E$75</f>
        <v>582.3</v>
      </c>
      <c r="E43" s="21" t="n">
        <f aca="false">E14*Inputs!$C$39/365</f>
        <v>613.471226063014</v>
      </c>
      <c r="F43" s="21" t="n">
        <f aca="false">F14*Inputs!$C$39/365</f>
        <v>647.762169373767</v>
      </c>
      <c r="G43" s="21" t="n">
        <f aca="false">G14*Inputs!$C$39/365</f>
        <v>686.055544555678</v>
      </c>
      <c r="H43" s="21" t="n">
        <f aca="false">H14*Inputs!$C$39/365</f>
        <v>724.635953370752</v>
      </c>
      <c r="I43" s="21" t="n">
        <f aca="false">I14*Inputs!$C$39/365</f>
        <v>765.927818862515</v>
      </c>
    </row>
    <row r="44" customFormat="false" ht="15" hidden="false" customHeight="false" outlineLevel="0" collapsed="false">
      <c r="B44" s="13" t="s">
        <v>138</v>
      </c>
      <c r="C44" s="13" t="s">
        <v>128</v>
      </c>
      <c r="D44" s="21" t="n">
        <f aca="false">Historicals!$E$76</f>
        <v>754.9</v>
      </c>
      <c r="E44" s="21" t="n">
        <f aca="false">E12*Inputs!$C$40</f>
        <v>807.7320405</v>
      </c>
      <c r="F44" s="21" t="n">
        <f aca="false">F12*Inputs!$C$40</f>
        <v>871.834421115</v>
      </c>
      <c r="G44" s="21" t="n">
        <f aca="false">G12*Inputs!$C$40</f>
        <v>935.8521727842</v>
      </c>
      <c r="H44" s="21" t="n">
        <f aca="false">H12*Inputs!$C$40</f>
        <v>997.466103505494</v>
      </c>
      <c r="I44" s="21" t="n">
        <f aca="false">I12*Inputs!$C$40</f>
        <v>1054.30462495472</v>
      </c>
    </row>
    <row r="45" customFormat="false" ht="15" hidden="false" customHeight="false" outlineLevel="0" collapsed="false">
      <c r="B45" s="13" t="s">
        <v>218</v>
      </c>
      <c r="C45" s="13" t="s">
        <v>128</v>
      </c>
      <c r="D45" s="21" t="n">
        <f aca="false">Historicals!$E$77+Historicals!$E$80</f>
        <v>1574</v>
      </c>
      <c r="E45" s="21" t="n">
        <f aca="false">D45</f>
        <v>1574</v>
      </c>
      <c r="F45" s="21" t="n">
        <f aca="false">E45</f>
        <v>1574</v>
      </c>
      <c r="G45" s="21" t="n">
        <f aca="false">F45</f>
        <v>1574</v>
      </c>
      <c r="H45" s="21" t="n">
        <f aca="false">G45</f>
        <v>1574</v>
      </c>
      <c r="I45" s="21" t="n">
        <f aca="false">H45</f>
        <v>1574</v>
      </c>
    </row>
    <row r="46" customFormat="false" ht="15" hidden="false" customHeight="false" outlineLevel="0" collapsed="false">
      <c r="B46" s="13" t="s">
        <v>219</v>
      </c>
      <c r="C46" s="13" t="s">
        <v>128</v>
      </c>
      <c r="D46" s="21" t="n">
        <f aca="false">Historicals!$E$79+Historicals!$E$78</f>
        <v>2379</v>
      </c>
      <c r="E46" s="21" t="n">
        <f aca="false">D46</f>
        <v>2379</v>
      </c>
      <c r="F46" s="21" t="n">
        <f aca="false">E46</f>
        <v>2379</v>
      </c>
      <c r="G46" s="21" t="n">
        <f aca="false">F46</f>
        <v>2379</v>
      </c>
      <c r="H46" s="21" t="n">
        <f aca="false">G46</f>
        <v>2379</v>
      </c>
      <c r="I46" s="21" t="n">
        <f aca="false">H46</f>
        <v>2379</v>
      </c>
      <c r="J46" s="5" t="s">
        <v>220</v>
      </c>
    </row>
    <row r="47" customFormat="false" ht="15" hidden="false" customHeight="false" outlineLevel="0" collapsed="false">
      <c r="B47" s="13" t="s">
        <v>221</v>
      </c>
      <c r="C47" s="13" t="s">
        <v>128</v>
      </c>
      <c r="D47" s="21" t="n">
        <f aca="false">Historicals!$E$81</f>
        <v>709.4</v>
      </c>
      <c r="E47" s="21" t="n">
        <f aca="false">D47</f>
        <v>709.4</v>
      </c>
      <c r="F47" s="21" t="n">
        <f aca="false">E47</f>
        <v>709.4</v>
      </c>
      <c r="G47" s="21" t="n">
        <f aca="false">F47</f>
        <v>709.4</v>
      </c>
      <c r="H47" s="21" t="n">
        <f aca="false">G47</f>
        <v>709.4</v>
      </c>
      <c r="I47" s="21" t="n">
        <f aca="false">H47</f>
        <v>709.4</v>
      </c>
    </row>
    <row r="48" customFormat="false" ht="15" hidden="false" customHeight="false" outlineLevel="0" collapsed="false">
      <c r="B48" s="15" t="s">
        <v>222</v>
      </c>
      <c r="C48" s="13" t="s">
        <v>128</v>
      </c>
      <c r="D48" s="30" t="n">
        <f aca="false">SUM(D43:D47)</f>
        <v>5999.6</v>
      </c>
      <c r="E48" s="30" t="n">
        <f aca="false">SUM(E43:E47)</f>
        <v>6083.60326656301</v>
      </c>
      <c r="F48" s="30" t="n">
        <f aca="false">SUM(F43:F47)</f>
        <v>6181.99659048877</v>
      </c>
      <c r="G48" s="30" t="n">
        <f aca="false">SUM(G43:G47)</f>
        <v>6284.30771733988</v>
      </c>
      <c r="H48" s="30" t="n">
        <f aca="false">SUM(H43:H47)</f>
        <v>6384.50205687625</v>
      </c>
      <c r="I48" s="30" t="n">
        <f aca="false">SUM(I43:I47)</f>
        <v>6482.63244381723</v>
      </c>
    </row>
    <row r="49" customFormat="false" ht="15" hidden="false" customHeight="false" outlineLevel="0" collapsed="false">
      <c r="B49" s="13" t="s">
        <v>223</v>
      </c>
      <c r="C49" s="13" t="s">
        <v>128</v>
      </c>
      <c r="D49" s="21" t="n">
        <f aca="false">Historicals!$E$83</f>
        <v>692.1</v>
      </c>
      <c r="E49" s="21" t="n">
        <f aca="false">D49+E26+E56-E61-E62</f>
        <v>710.03364138</v>
      </c>
      <c r="F49" s="21" t="n">
        <f aca="false">E49+F26+F56-F61-F62</f>
        <v>735.717672337808</v>
      </c>
      <c r="G49" s="21" t="n">
        <f aca="false">F49+G26+G56-G61-G62</f>
        <v>767.200625177966</v>
      </c>
      <c r="H49" s="21" t="n">
        <f aca="false">G49+H26+H56-H61-H62</f>
        <v>804.366936833208</v>
      </c>
      <c r="I49" s="21" t="n">
        <f aca="false">H49+I26+I56-I61-I62</f>
        <v>849.557743626083</v>
      </c>
    </row>
    <row r="50" customFormat="false" ht="15" hidden="false" customHeight="false" outlineLevel="0" collapsed="false">
      <c r="B50" s="22" t="s">
        <v>224</v>
      </c>
      <c r="C50" s="22" t="s">
        <v>128</v>
      </c>
      <c r="D50" s="31" t="n">
        <f aca="false">D42-D48-D49</f>
        <v>0</v>
      </c>
      <c r="E50" s="31" t="n">
        <f aca="false">ROUND(E42-E48-E49,3)</f>
        <v>0</v>
      </c>
      <c r="F50" s="31" t="n">
        <f aca="false">ROUND(F42-F48-F49,3)</f>
        <v>0</v>
      </c>
      <c r="G50" s="31" t="n">
        <f aca="false">ROUND(G42-G48-G49,3)</f>
        <v>0</v>
      </c>
      <c r="H50" s="31" t="n">
        <f aca="false">ROUND(H42-H48-H49,3)</f>
        <v>0</v>
      </c>
      <c r="I50" s="31" t="n">
        <f aca="false">ROUND(I42-I48-I49,3)</f>
        <v>0</v>
      </c>
      <c r="J50" s="7" t="s">
        <v>225</v>
      </c>
    </row>
    <row r="52" customFormat="false" ht="15" hidden="false" customHeight="false" outlineLevel="0" collapsed="false">
      <c r="B52" s="11" t="s">
        <v>226</v>
      </c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B53" s="3" t="s">
        <v>184</v>
      </c>
      <c r="C53" s="3" t="s">
        <v>104</v>
      </c>
      <c r="D53" s="3" t="s">
        <v>185</v>
      </c>
      <c r="E53" s="3" t="s">
        <v>99</v>
      </c>
      <c r="F53" s="3" t="s">
        <v>100</v>
      </c>
      <c r="G53" s="3" t="s">
        <v>101</v>
      </c>
      <c r="H53" s="3" t="s">
        <v>102</v>
      </c>
      <c r="I53" s="3" t="s">
        <v>103</v>
      </c>
      <c r="J53" s="3" t="s">
        <v>69</v>
      </c>
    </row>
    <row r="54" customFormat="false" ht="15" hidden="false" customHeight="false" outlineLevel="0" collapsed="false">
      <c r="B54" s="13" t="s">
        <v>227</v>
      </c>
      <c r="C54" s="13" t="s">
        <v>128</v>
      </c>
      <c r="E54" s="21" t="n">
        <f aca="false">E26</f>
        <v>1624.83692578</v>
      </c>
      <c r="F54" s="21" t="n">
        <f aca="false">F26</f>
        <v>1825.68844192539</v>
      </c>
      <c r="G54" s="21" t="n">
        <f aca="false">G26</f>
        <v>2004.7282895766</v>
      </c>
      <c r="H54" s="21" t="n">
        <f aca="false">H26</f>
        <v>2183.89957182519</v>
      </c>
      <c r="I54" s="21" t="n">
        <f aca="false">I26</f>
        <v>2311.8193257069</v>
      </c>
    </row>
    <row r="55" customFormat="false" ht="15" hidden="false" customHeight="false" outlineLevel="0" collapsed="false">
      <c r="B55" s="13" t="s">
        <v>228</v>
      </c>
      <c r="C55" s="13" t="s">
        <v>128</v>
      </c>
      <c r="E55" s="21" t="n">
        <f aca="false">E12*Inputs!$C$34</f>
        <v>230.780583</v>
      </c>
      <c r="F55" s="21" t="n">
        <f aca="false">F12*Inputs!$C$34</f>
        <v>249.09554889</v>
      </c>
      <c r="G55" s="21" t="n">
        <f aca="false">G12*Inputs!$C$34</f>
        <v>267.3863350812</v>
      </c>
      <c r="H55" s="21" t="n">
        <f aca="false">H12*Inputs!$C$34</f>
        <v>284.990315287284</v>
      </c>
      <c r="I55" s="21" t="n">
        <f aca="false">I12*Inputs!$C$34</f>
        <v>301.229892844205</v>
      </c>
    </row>
    <row r="56" customFormat="false" ht="15" hidden="false" customHeight="false" outlineLevel="0" collapsed="false">
      <c r="B56" s="13" t="s">
        <v>139</v>
      </c>
      <c r="C56" s="13" t="s">
        <v>128</v>
      </c>
      <c r="E56" s="21" t="n">
        <f aca="false">E12*Inputs!$C$41</f>
        <v>111.9713199</v>
      </c>
      <c r="F56" s="21" t="n">
        <f aca="false">F12*Inputs!$C$41</f>
        <v>120.857470017</v>
      </c>
      <c r="G56" s="21" t="n">
        <f aca="false">G12*Inputs!$C$41</f>
        <v>129.73188850236</v>
      </c>
      <c r="H56" s="21" t="n">
        <f aca="false">H12*Inputs!$C$41</f>
        <v>138.273078898645</v>
      </c>
      <c r="I56" s="21" t="n">
        <f aca="false">I12*Inputs!$C$41</f>
        <v>146.152281342929</v>
      </c>
    </row>
    <row r="57" customFormat="false" ht="15" hidden="false" customHeight="false" outlineLevel="0" collapsed="false">
      <c r="B57" s="13" t="s">
        <v>229</v>
      </c>
      <c r="C57" s="13" t="s">
        <v>128</v>
      </c>
      <c r="E57" s="21" t="n">
        <f aca="false">-(E35-D35)-(E36-D36)+(E43-D43)+(E44-D44)</f>
        <v>24.0071726671234</v>
      </c>
      <c r="F57" s="21" t="n">
        <f aca="false">-(F35-E35)-(F36-E36)+(F43-E43)+(F44-E44)</f>
        <v>29.6705354621919</v>
      </c>
      <c r="G57" s="21" t="n">
        <f aca="false">-(G35-F35)-(G36-F36)+(G43-F43)+(G44-F44)</f>
        <v>27.936232733442</v>
      </c>
      <c r="H57" s="21" t="n">
        <f aca="false">-(H35-G35)-(H36-G36)+(H43-G43)+(H44-G44)</f>
        <v>26.1648695197105</v>
      </c>
      <c r="I57" s="21" t="n">
        <f aca="false">-(I35-H35)-(I36-H36)+(I43-H43)+(I44-H44)</f>
        <v>21.7491693947262</v>
      </c>
    </row>
    <row r="58" customFormat="false" ht="15" hidden="false" customHeight="false" outlineLevel="0" collapsed="false">
      <c r="B58" s="15" t="s">
        <v>230</v>
      </c>
      <c r="C58" s="13" t="s">
        <v>128</v>
      </c>
      <c r="D58" s="30" t="n">
        <f aca="false">Historicals!$E$88</f>
        <v>1978.5</v>
      </c>
      <c r="E58" s="30" t="n">
        <f aca="false">E54+E55+E56+E57</f>
        <v>1991.59600134712</v>
      </c>
      <c r="F58" s="30" t="n">
        <f aca="false">F54+F55+F56+F57</f>
        <v>2225.31199629459</v>
      </c>
      <c r="G58" s="30" t="n">
        <f aca="false">G54+G55+G56+G57</f>
        <v>2429.7827458936</v>
      </c>
      <c r="H58" s="30" t="n">
        <f aca="false">H54+H55+H56+H57</f>
        <v>2633.32783553083</v>
      </c>
      <c r="I58" s="30" t="n">
        <f aca="false">I54+I55+I56+I57</f>
        <v>2780.95066928876</v>
      </c>
    </row>
    <row r="59" customFormat="false" ht="15" hidden="false" customHeight="false" outlineLevel="0" collapsed="false">
      <c r="B59" s="13" t="s">
        <v>231</v>
      </c>
      <c r="C59" s="13" t="s">
        <v>128</v>
      </c>
      <c r="E59" s="21" t="n">
        <f aca="false">Inputs!$C$35</f>
        <v>300</v>
      </c>
      <c r="F59" s="21" t="n">
        <f aca="false">F12*Inputs!$C$36</f>
        <v>304.45011531</v>
      </c>
      <c r="G59" s="21" t="n">
        <f aca="false">G12*Inputs!$C$36</f>
        <v>326.8055206548</v>
      </c>
      <c r="H59" s="21" t="n">
        <f aca="false">H12*Inputs!$C$36</f>
        <v>348.321496462236</v>
      </c>
      <c r="I59" s="21" t="n">
        <f aca="false">I12*Inputs!$C$36</f>
        <v>368.169869031806</v>
      </c>
    </row>
    <row r="60" customFormat="false" ht="15" hidden="false" customHeight="false" outlineLevel="0" collapsed="false">
      <c r="B60" s="15" t="s">
        <v>232</v>
      </c>
      <c r="C60" s="13" t="s">
        <v>128</v>
      </c>
      <c r="E60" s="30" t="n">
        <f aca="false">E58-E59</f>
        <v>1691.59600134712</v>
      </c>
      <c r="F60" s="30" t="n">
        <f aca="false">F58-F59</f>
        <v>1920.86188098459</v>
      </c>
      <c r="G60" s="30" t="n">
        <f aca="false">G58-G59</f>
        <v>2102.9772252388</v>
      </c>
      <c r="H60" s="30" t="n">
        <f aca="false">H58-H59</f>
        <v>2285.0063390686</v>
      </c>
      <c r="I60" s="30" t="n">
        <f aca="false">I58-I59</f>
        <v>2412.78080025695</v>
      </c>
    </row>
    <row r="61" customFormat="false" ht="15" hidden="false" customHeight="false" outlineLevel="0" collapsed="false">
      <c r="B61" s="13" t="s">
        <v>233</v>
      </c>
      <c r="C61" s="13" t="s">
        <v>128</v>
      </c>
      <c r="D61" s="21" t="n">
        <f aca="false">-Historicals!$E$93</f>
        <v>326.1</v>
      </c>
      <c r="E61" s="21" t="n">
        <f aca="false">E68*D70</f>
        <v>368.8746043</v>
      </c>
      <c r="F61" s="21" t="n">
        <f aca="false">F68*E70</f>
        <v>381.071617351774</v>
      </c>
      <c r="G61" s="21" t="n">
        <f aca="false">G68*F70</f>
        <v>391.411624162475</v>
      </c>
      <c r="H61" s="21" t="n">
        <f aca="false">H68*G70</f>
        <v>400.078641506755</v>
      </c>
      <c r="I61" s="21" t="n">
        <f aca="false">I68*H70</f>
        <v>406.936265075413</v>
      </c>
    </row>
    <row r="62" customFormat="false" ht="15" hidden="false" customHeight="false" outlineLevel="0" collapsed="false">
      <c r="B62" s="13" t="s">
        <v>234</v>
      </c>
      <c r="C62" s="13" t="s">
        <v>128</v>
      </c>
      <c r="D62" s="21" t="n">
        <f aca="false">-Historicals!$E$94</f>
        <v>1554.6</v>
      </c>
      <c r="E62" s="21" t="n">
        <f aca="false">Inputs!$C$44</f>
        <v>1350</v>
      </c>
      <c r="F62" s="21" t="n">
        <f aca="false">MAX(0,F60-F61)</f>
        <v>1539.79026363281</v>
      </c>
      <c r="G62" s="21" t="n">
        <f aca="false">MAX(0,G60-G61)</f>
        <v>1711.56560107632</v>
      </c>
      <c r="H62" s="21" t="n">
        <f aca="false">MAX(0,H60-H61)</f>
        <v>1884.92769756184</v>
      </c>
      <c r="I62" s="21" t="n">
        <f aca="false">MAX(0,I60-I61)</f>
        <v>2005.84453518154</v>
      </c>
    </row>
    <row r="63" customFormat="false" ht="15" hidden="false" customHeight="false" outlineLevel="0" collapsed="false">
      <c r="B63" s="13" t="s">
        <v>235</v>
      </c>
      <c r="C63" s="13" t="s">
        <v>128</v>
      </c>
      <c r="E63" s="21" t="n">
        <f aca="false">E60-E61-E62</f>
        <v>-27.2786029528766</v>
      </c>
      <c r="F63" s="21" t="n">
        <f aca="false">F60-F61-F62</f>
        <v>0</v>
      </c>
      <c r="G63" s="21" t="n">
        <f aca="false">G60-G61-G62</f>
        <v>0</v>
      </c>
      <c r="H63" s="21" t="n">
        <f aca="false">H60-H61-H62</f>
        <v>0</v>
      </c>
      <c r="I63" s="21" t="n">
        <f aca="false">I60-I61-I62</f>
        <v>0</v>
      </c>
    </row>
    <row r="64" customFormat="false" ht="15" hidden="false" customHeight="false" outlineLevel="0" collapsed="false">
      <c r="B64" s="18" t="s">
        <v>236</v>
      </c>
      <c r="C64" s="22" t="s">
        <v>128</v>
      </c>
      <c r="D64" s="24"/>
      <c r="E64" s="32" t="n">
        <f aca="false">D33+E63</f>
        <v>947.421397047124</v>
      </c>
      <c r="F64" s="32" t="n">
        <f aca="false">E33+F63</f>
        <v>947.421397047124</v>
      </c>
      <c r="G64" s="32" t="n">
        <f aca="false">F33+G63</f>
        <v>947.421397047124</v>
      </c>
      <c r="H64" s="32" t="n">
        <f aca="false">G33+H63</f>
        <v>947.421397047124</v>
      </c>
      <c r="I64" s="32" t="n">
        <f aca="false">H33+I63</f>
        <v>947.421397047124</v>
      </c>
      <c r="J64" s="24"/>
    </row>
    <row r="66" customFormat="false" ht="15" hidden="false" customHeight="false" outlineLevel="0" collapsed="false">
      <c r="B66" s="11" t="s">
        <v>237</v>
      </c>
      <c r="C66" s="12"/>
      <c r="D66" s="12"/>
      <c r="E66" s="12"/>
      <c r="F66" s="12"/>
      <c r="G66" s="12"/>
      <c r="H66" s="12"/>
      <c r="I66" s="12"/>
      <c r="J66" s="12"/>
    </row>
    <row r="67" customFormat="false" ht="15" hidden="false" customHeight="false" outlineLevel="0" collapsed="false">
      <c r="B67" s="3" t="s">
        <v>184</v>
      </c>
      <c r="C67" s="3" t="s">
        <v>104</v>
      </c>
      <c r="D67" s="3" t="s">
        <v>185</v>
      </c>
      <c r="E67" s="3" t="s">
        <v>99</v>
      </c>
      <c r="F67" s="3" t="s">
        <v>100</v>
      </c>
      <c r="G67" s="3" t="s">
        <v>101</v>
      </c>
      <c r="H67" s="3" t="s">
        <v>102</v>
      </c>
      <c r="I67" s="3" t="s">
        <v>103</v>
      </c>
      <c r="J67" s="3" t="s">
        <v>69</v>
      </c>
    </row>
    <row r="68" customFormat="false" ht="15" hidden="false" customHeight="false" outlineLevel="0" collapsed="false">
      <c r="B68" s="13" t="s">
        <v>238</v>
      </c>
      <c r="C68" s="13" t="s">
        <v>142</v>
      </c>
      <c r="D68" s="14" t="n">
        <v>1.6</v>
      </c>
      <c r="E68" s="14" t="n">
        <f aca="false">Inputs!$C$42</f>
        <v>1.85</v>
      </c>
      <c r="F68" s="14" t="n">
        <f aca="false">E68*(1+Inputs!$C$43)</f>
        <v>1.998</v>
      </c>
      <c r="G68" s="14" t="n">
        <f aca="false">F68*(1+Inputs!$C$43)</f>
        <v>2.15784</v>
      </c>
      <c r="H68" s="14" t="n">
        <f aca="false">G68*(1+Inputs!$C$43)</f>
        <v>2.3304672</v>
      </c>
      <c r="I68" s="14" t="n">
        <f aca="false">H68*(1+Inputs!$C$43)</f>
        <v>2.516904576</v>
      </c>
    </row>
    <row r="69" customFormat="false" ht="15" hidden="false" customHeight="false" outlineLevel="0" collapsed="false">
      <c r="B69" s="13" t="s">
        <v>239</v>
      </c>
      <c r="C69" s="13" t="s">
        <v>142</v>
      </c>
      <c r="E69" s="14" t="n">
        <f aca="false">Inputs!$C$53</f>
        <v>115.82</v>
      </c>
      <c r="F69" s="14" t="n">
        <f aca="false">E69*(1+Inputs!$C$46)</f>
        <v>126.2438</v>
      </c>
      <c r="G69" s="14" t="n">
        <f aca="false">F69*(1+Inputs!$C$46)</f>
        <v>137.605742</v>
      </c>
      <c r="H69" s="14" t="n">
        <f aca="false">G69*(1+Inputs!$C$46)</f>
        <v>149.99025878</v>
      </c>
      <c r="I69" s="14" t="n">
        <f aca="false">H69*(1+Inputs!$C$46)</f>
        <v>163.4893820702</v>
      </c>
    </row>
    <row r="70" customFormat="false" ht="15" hidden="false" customHeight="false" outlineLevel="0" collapsed="false">
      <c r="B70" s="22" t="s">
        <v>240</v>
      </c>
      <c r="C70" s="22" t="s">
        <v>167</v>
      </c>
      <c r="D70" s="33" t="n">
        <f aca="false">Historicals!$C$105</f>
        <v>199.391678</v>
      </c>
      <c r="E70" s="33" t="n">
        <f aca="false">D70*(1+Inputs!$C$47)-E62/E69</f>
        <v>190.726535211098</v>
      </c>
      <c r="F70" s="33" t="n">
        <f aca="false">E70*(1+Inputs!$C$47)-F62/F69</f>
        <v>181.390475736141</v>
      </c>
      <c r="G70" s="33" t="n">
        <f aca="false">F70*(1+Inputs!$C$47)-G62/G69</f>
        <v>171.673148417088</v>
      </c>
      <c r="H70" s="33" t="n">
        <f aca="false">G70*(1+Inputs!$C$47)-H62/H69</f>
        <v>161.68124487347</v>
      </c>
      <c r="I70" s="33" t="n">
        <f aca="false">H70*(1+Inputs!$C$47)-I62/I69</f>
        <v>151.837504487688</v>
      </c>
      <c r="J70" s="7" t="s">
        <v>241</v>
      </c>
    </row>
    <row r="72" customFormat="false" ht="15" hidden="false" customHeight="false" outlineLevel="0" collapsed="false">
      <c r="B72" s="11" t="s">
        <v>242</v>
      </c>
      <c r="C72" s="12"/>
      <c r="D72" s="12"/>
      <c r="E72" s="12"/>
      <c r="F72" s="12"/>
      <c r="G72" s="12"/>
      <c r="H72" s="12"/>
      <c r="I72" s="12"/>
      <c r="J72" s="12"/>
    </row>
    <row r="73" customFormat="false" ht="15" hidden="false" customHeight="false" outlineLevel="0" collapsed="false">
      <c r="B73" s="10" t="s">
        <v>243</v>
      </c>
    </row>
    <row r="74" customFormat="false" ht="15" hidden="false" customHeight="false" outlineLevel="0" collapsed="false">
      <c r="B74" s="3" t="s">
        <v>184</v>
      </c>
      <c r="C74" s="3" t="s">
        <v>104</v>
      </c>
      <c r="D74" s="3" t="s">
        <v>185</v>
      </c>
      <c r="E74" s="3" t="s">
        <v>99</v>
      </c>
      <c r="F74" s="3" t="s">
        <v>100</v>
      </c>
      <c r="G74" s="3" t="s">
        <v>101</v>
      </c>
      <c r="H74" s="3" t="s">
        <v>102</v>
      </c>
      <c r="I74" s="3" t="s">
        <v>103</v>
      </c>
      <c r="J74" s="3" t="s">
        <v>69</v>
      </c>
    </row>
    <row r="75" customFormat="false" ht="15" hidden="false" customHeight="false" outlineLevel="0" collapsed="false">
      <c r="B75" s="13" t="s">
        <v>195</v>
      </c>
      <c r="C75" s="13" t="s">
        <v>128</v>
      </c>
      <c r="E75" s="21" t="n">
        <f aca="false">E19</f>
        <v>2051.38296</v>
      </c>
      <c r="F75" s="21" t="n">
        <f aca="false">F19</f>
        <v>2306.4402675</v>
      </c>
      <c r="G75" s="21" t="n">
        <f aca="false">G19</f>
        <v>2525.315386878</v>
      </c>
      <c r="H75" s="21" t="n">
        <f aca="false">H19</f>
        <v>2744.35118424792</v>
      </c>
      <c r="I75" s="21" t="n">
        <f aca="false">I19</f>
        <v>2900.73230146272</v>
      </c>
    </row>
    <row r="76" customFormat="false" ht="15" hidden="false" customHeight="false" outlineLevel="0" collapsed="false">
      <c r="B76" s="13" t="s">
        <v>244</v>
      </c>
      <c r="C76" s="13" t="s">
        <v>128</v>
      </c>
      <c r="E76" s="21" t="n">
        <f aca="false">-E19*Inputs!$C$33</f>
        <v>-373.35169872</v>
      </c>
      <c r="F76" s="21" t="n">
        <f aca="false">-F19*Inputs!$C$33</f>
        <v>-419.772128685</v>
      </c>
      <c r="G76" s="21" t="n">
        <f aca="false">-G19*Inputs!$C$33</f>
        <v>-459.607400411796</v>
      </c>
      <c r="H76" s="21" t="n">
        <f aca="false">-H19*Inputs!$C$33</f>
        <v>-499.471915533122</v>
      </c>
      <c r="I76" s="21" t="n">
        <f aca="false">-I19*Inputs!$C$33</f>
        <v>-527.933278866214</v>
      </c>
    </row>
    <row r="77" customFormat="false" ht="15" hidden="false" customHeight="false" outlineLevel="0" collapsed="false">
      <c r="B77" s="13" t="s">
        <v>245</v>
      </c>
      <c r="C77" s="13" t="s">
        <v>128</v>
      </c>
      <c r="E77" s="21" t="n">
        <f aca="false">E55</f>
        <v>230.780583</v>
      </c>
      <c r="F77" s="21" t="n">
        <f aca="false">F55</f>
        <v>249.09554889</v>
      </c>
      <c r="G77" s="21" t="n">
        <f aca="false">G55</f>
        <v>267.3863350812</v>
      </c>
      <c r="H77" s="21" t="n">
        <f aca="false">H55</f>
        <v>284.990315287284</v>
      </c>
      <c r="I77" s="21" t="n">
        <f aca="false">I55</f>
        <v>301.229892844205</v>
      </c>
    </row>
    <row r="78" customFormat="false" ht="15" hidden="false" customHeight="false" outlineLevel="0" collapsed="false">
      <c r="B78" s="13" t="s">
        <v>231</v>
      </c>
      <c r="C78" s="13" t="s">
        <v>128</v>
      </c>
      <c r="E78" s="21" t="n">
        <f aca="false">-E59</f>
        <v>-300</v>
      </c>
      <c r="F78" s="21" t="n">
        <f aca="false">-F59</f>
        <v>-304.45011531</v>
      </c>
      <c r="G78" s="21" t="n">
        <f aca="false">-G59</f>
        <v>-326.8055206548</v>
      </c>
      <c r="H78" s="21" t="n">
        <f aca="false">-H59</f>
        <v>-348.321496462236</v>
      </c>
      <c r="I78" s="21" t="n">
        <f aca="false">-I59</f>
        <v>-368.169869031806</v>
      </c>
    </row>
    <row r="79" customFormat="false" ht="15" hidden="false" customHeight="false" outlineLevel="0" collapsed="false">
      <c r="B79" s="13" t="s">
        <v>229</v>
      </c>
      <c r="C79" s="13" t="s">
        <v>128</v>
      </c>
      <c r="E79" s="21" t="n">
        <f aca="false">E57</f>
        <v>24.0071726671234</v>
      </c>
      <c r="F79" s="21" t="n">
        <f aca="false">F57</f>
        <v>29.6705354621919</v>
      </c>
      <c r="G79" s="21" t="n">
        <f aca="false">G57</f>
        <v>27.936232733442</v>
      </c>
      <c r="H79" s="21" t="n">
        <f aca="false">H57</f>
        <v>26.1648695197105</v>
      </c>
      <c r="I79" s="21" t="n">
        <f aca="false">I57</f>
        <v>21.7491693947262</v>
      </c>
    </row>
    <row r="80" customFormat="false" ht="15" hidden="false" customHeight="false" outlineLevel="0" collapsed="false">
      <c r="B80" s="15" t="s">
        <v>246</v>
      </c>
      <c r="C80" s="13" t="s">
        <v>128</v>
      </c>
      <c r="E80" s="30" t="n">
        <f aca="false">SUM(E75:E79)</f>
        <v>1632.81901694712</v>
      </c>
      <c r="F80" s="30" t="n">
        <f aca="false">SUM(F75:F79)</f>
        <v>1860.98410785719</v>
      </c>
      <c r="G80" s="30" t="n">
        <f aca="false">SUM(G75:G79)</f>
        <v>2034.22503362605</v>
      </c>
      <c r="H80" s="30" t="n">
        <f aca="false">SUM(H75:H79)</f>
        <v>2207.71295705956</v>
      </c>
      <c r="I80" s="30" t="n">
        <f aca="false">SUM(I75:I79)</f>
        <v>2327.60821580363</v>
      </c>
    </row>
    <row r="81" customFormat="false" ht="15" hidden="false" customHeight="false" outlineLevel="0" collapsed="false">
      <c r="B81" s="13" t="s">
        <v>247</v>
      </c>
      <c r="C81" s="13" t="s">
        <v>174</v>
      </c>
      <c r="E81" s="34" t="n">
        <f aca="false">WACC!$C$28</f>
        <v>0.734246575342466</v>
      </c>
      <c r="F81" s="34" t="n">
        <f aca="false">1</f>
        <v>1</v>
      </c>
      <c r="G81" s="34" t="n">
        <f aca="false">1</f>
        <v>1</v>
      </c>
      <c r="H81" s="34" t="n">
        <f aca="false">1</f>
        <v>1</v>
      </c>
      <c r="I81" s="34" t="n">
        <f aca="false">1</f>
        <v>1</v>
      </c>
    </row>
    <row r="82" customFormat="false" ht="15" hidden="false" customHeight="false" outlineLevel="0" collapsed="false">
      <c r="B82" s="13" t="s">
        <v>248</v>
      </c>
      <c r="C82" s="13" t="s">
        <v>128</v>
      </c>
      <c r="E82" s="21" t="n">
        <f aca="false">E80*E81</f>
        <v>1198.89177134748</v>
      </c>
      <c r="F82" s="21" t="n">
        <f aca="false">F80*F81</f>
        <v>1860.98410785719</v>
      </c>
      <c r="G82" s="21" t="n">
        <f aca="false">G80*G81</f>
        <v>2034.22503362605</v>
      </c>
      <c r="H82" s="21" t="n">
        <f aca="false">H80*H81</f>
        <v>2207.71295705956</v>
      </c>
      <c r="I82" s="21" t="n">
        <f aca="false">I80*I81</f>
        <v>2327.60821580363</v>
      </c>
    </row>
    <row r="83" customFormat="false" ht="15" hidden="false" customHeight="false" outlineLevel="0" collapsed="false">
      <c r="B83" s="13" t="s">
        <v>249</v>
      </c>
      <c r="C83" s="13" t="s">
        <v>250</v>
      </c>
      <c r="E83" s="34" t="n">
        <f aca="false">WACC!$C$28/2</f>
        <v>0.367123287671233</v>
      </c>
      <c r="F83" s="34" t="n">
        <f aca="false">WACC!$C$28+1-0.5</f>
        <v>1.23424657534247</v>
      </c>
      <c r="G83" s="34" t="n">
        <f aca="false">WACC!$C$28+2-0.5</f>
        <v>2.23424657534247</v>
      </c>
      <c r="H83" s="34" t="n">
        <f aca="false">WACC!$C$28+3-0.5</f>
        <v>3.23424657534247</v>
      </c>
      <c r="I83" s="34" t="n">
        <f aca="false">WACC!$C$28+4-0.5</f>
        <v>4.23424657534247</v>
      </c>
    </row>
    <row r="84" customFormat="false" ht="15" hidden="false" customHeight="false" outlineLevel="0" collapsed="false">
      <c r="B84" s="13" t="s">
        <v>251</v>
      </c>
      <c r="C84" s="13" t="s">
        <v>174</v>
      </c>
      <c r="E84" s="35" t="n">
        <f aca="false">1/(1+WACC!$C$27)^E83</f>
        <v>0.963266299229137</v>
      </c>
      <c r="F84" s="35" t="n">
        <f aca="false">1/(1+WACC!$C$27)^F83</f>
        <v>0.881771898544091</v>
      </c>
      <c r="G84" s="35" t="n">
        <f aca="false">1/(1+WACC!$C$27)^G83</f>
        <v>0.796312066679301</v>
      </c>
      <c r="H84" s="35" t="n">
        <f aca="false">1/(1+WACC!$C$27)^H83</f>
        <v>0.719134856288859</v>
      </c>
      <c r="I84" s="35" t="n">
        <f aca="false">1/(1+WACC!$C$27)^I83</f>
        <v>0.649437529794299</v>
      </c>
    </row>
    <row r="85" customFormat="false" ht="15" hidden="false" customHeight="false" outlineLevel="0" collapsed="false">
      <c r="B85" s="22" t="s">
        <v>252</v>
      </c>
      <c r="C85" s="22" t="s">
        <v>128</v>
      </c>
      <c r="D85" s="24"/>
      <c r="E85" s="31" t="n">
        <f aca="false">E82*E84</f>
        <v>1154.85203976215</v>
      </c>
      <c r="F85" s="31" t="n">
        <f aca="false">F82*F84</f>
        <v>1640.96348994562</v>
      </c>
      <c r="G85" s="31" t="n">
        <f aca="false">G82*G84</f>
        <v>1619.87794061753</v>
      </c>
      <c r="H85" s="31" t="n">
        <f aca="false">H82*H84</f>
        <v>1587.64334010208</v>
      </c>
      <c r="I85" s="31" t="n">
        <f aca="false">I82*I84</f>
        <v>1511.63613000042</v>
      </c>
      <c r="J85" s="24"/>
    </row>
    <row r="87" customFormat="false" ht="15" hidden="false" customHeight="false" outlineLevel="0" collapsed="false">
      <c r="B87" s="11" t="s">
        <v>253</v>
      </c>
      <c r="C87" s="12"/>
      <c r="D87" s="12"/>
      <c r="E87" s="12"/>
      <c r="F87" s="12"/>
      <c r="G87" s="12"/>
      <c r="H87" s="12"/>
      <c r="I87" s="12"/>
      <c r="J87" s="12"/>
    </row>
    <row r="88" customFormat="false" ht="15" hidden="false" customHeight="false" outlineLevel="0" collapsed="false">
      <c r="B88" s="3" t="s">
        <v>39</v>
      </c>
      <c r="C88" s="3" t="s">
        <v>104</v>
      </c>
      <c r="D88" s="3" t="s">
        <v>40</v>
      </c>
      <c r="E88" s="3"/>
      <c r="F88" s="3"/>
      <c r="G88" s="3"/>
      <c r="H88" s="3"/>
      <c r="I88" s="3"/>
      <c r="J88" s="3" t="s">
        <v>69</v>
      </c>
    </row>
    <row r="89" customFormat="false" ht="15" hidden="false" customHeight="false" outlineLevel="0" collapsed="false">
      <c r="B89" s="13" t="s">
        <v>254</v>
      </c>
      <c r="C89" s="13" t="s">
        <v>128</v>
      </c>
      <c r="D89" s="21" t="n">
        <f aca="false">SUM(E85:I85)</f>
        <v>7514.97294042779</v>
      </c>
    </row>
    <row r="90" customFormat="false" ht="15" hidden="false" customHeight="false" outlineLevel="0" collapsed="false">
      <c r="B90" s="13" t="s">
        <v>255</v>
      </c>
      <c r="C90" s="13" t="s">
        <v>128</v>
      </c>
      <c r="D90" s="21" t="n">
        <f aca="false">I80*(1+Inputs!$C$49)/(WACC!$C$27-Inputs!$C$49)</f>
        <v>31006.870472369</v>
      </c>
      <c r="J90" s="5" t="s">
        <v>256</v>
      </c>
    </row>
    <row r="91" customFormat="false" ht="15" hidden="false" customHeight="false" outlineLevel="0" collapsed="false">
      <c r="B91" s="13" t="s">
        <v>257</v>
      </c>
      <c r="C91" s="13" t="s">
        <v>128</v>
      </c>
      <c r="D91" s="21" t="n">
        <f aca="false">D90/(1+WACC!$C$27)^(WACC!$C$28+4)</f>
        <v>19136.3382324911</v>
      </c>
    </row>
    <row r="92" customFormat="false" ht="15" hidden="false" customHeight="false" outlineLevel="0" collapsed="false">
      <c r="B92" s="15" t="s">
        <v>258</v>
      </c>
      <c r="C92" s="13" t="s">
        <v>128</v>
      </c>
      <c r="D92" s="30" t="n">
        <f aca="false">D89+D91</f>
        <v>26651.3111729189</v>
      </c>
    </row>
    <row r="93" customFormat="false" ht="15" hidden="false" customHeight="false" outlineLevel="0" collapsed="false">
      <c r="B93" s="13" t="s">
        <v>259</v>
      </c>
      <c r="C93" s="13" t="s">
        <v>128</v>
      </c>
      <c r="D93" s="21" t="n">
        <f aca="false">-Historicals!$E$79</f>
        <v>-2379</v>
      </c>
      <c r="J93" s="5" t="s">
        <v>260</v>
      </c>
    </row>
    <row r="94" customFormat="false" ht="15" hidden="false" customHeight="false" outlineLevel="0" collapsed="false">
      <c r="B94" s="13" t="s">
        <v>261</v>
      </c>
      <c r="C94" s="13" t="s">
        <v>128</v>
      </c>
      <c r="D94" s="21" t="n">
        <f aca="false">Historicals!$E$64+Historicals!$E$65</f>
        <v>1152</v>
      </c>
      <c r="J94" s="5" t="s">
        <v>260</v>
      </c>
    </row>
    <row r="95" customFormat="false" ht="15" hidden="false" customHeight="false" outlineLevel="0" collapsed="false">
      <c r="B95" s="15" t="s">
        <v>262</v>
      </c>
      <c r="C95" s="13" t="s">
        <v>128</v>
      </c>
      <c r="D95" s="30" t="n">
        <f aca="false">SUM(D92:D94)</f>
        <v>25424.3111729189</v>
      </c>
    </row>
    <row r="96" customFormat="false" ht="15" hidden="false" customHeight="false" outlineLevel="0" collapsed="false">
      <c r="B96" s="13" t="s">
        <v>263</v>
      </c>
      <c r="C96" s="13" t="s">
        <v>167</v>
      </c>
      <c r="D96" s="26" t="n">
        <f aca="false">Inputs!$C$56+Inputs!$C$57</f>
        <v>205.591678</v>
      </c>
    </row>
    <row r="97" customFormat="false" ht="15" hidden="false" customHeight="false" outlineLevel="0" collapsed="false">
      <c r="B97" s="15" t="s">
        <v>51</v>
      </c>
      <c r="C97" s="13" t="s">
        <v>142</v>
      </c>
      <c r="D97" s="16" t="n">
        <f aca="false">D95/D96</f>
        <v>123.664106544813</v>
      </c>
    </row>
    <row r="98" customFormat="false" ht="15" hidden="false" customHeight="false" outlineLevel="0" collapsed="false">
      <c r="B98" s="13" t="s">
        <v>264</v>
      </c>
      <c r="C98" s="13" t="s">
        <v>106</v>
      </c>
      <c r="D98" s="17" t="n">
        <f aca="false">D97/Inputs!$C$53-1</f>
        <v>0.0677267013021343</v>
      </c>
    </row>
    <row r="99" customFormat="false" ht="15" hidden="false" customHeight="false" outlineLevel="0" collapsed="false">
      <c r="B99" s="13" t="s">
        <v>265</v>
      </c>
      <c r="C99" s="13" t="s">
        <v>106</v>
      </c>
      <c r="D99" s="17" t="n">
        <f aca="false">D91/D92</f>
        <v>0.718026145442933</v>
      </c>
    </row>
    <row r="100" customFormat="false" ht="15" hidden="false" customHeight="false" outlineLevel="0" collapsed="false">
      <c r="B100" s="22" t="s">
        <v>266</v>
      </c>
      <c r="C100" s="22" t="s">
        <v>174</v>
      </c>
      <c r="D100" s="36" t="n">
        <f aca="false">D90/(I19+I55)</f>
        <v>9.68370911046331</v>
      </c>
      <c r="E100" s="24"/>
      <c r="F100" s="24"/>
      <c r="G100" s="24"/>
      <c r="H100" s="24"/>
      <c r="I100" s="24"/>
      <c r="J100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9" min="4" style="0" width="13"/>
    <col collapsed="false" customWidth="true" hidden="false" outlineLevel="0" max="10" min="10" style="0" width="50"/>
  </cols>
  <sheetData>
    <row r="2" customFormat="false" ht="15" hidden="false" customHeight="false" outlineLevel="0" collapsed="false">
      <c r="B2" s="8" t="s">
        <v>269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B3" s="10" t="s">
        <v>181</v>
      </c>
    </row>
    <row r="5" customFormat="false" ht="15" hidden="false" customHeight="false" outlineLevel="0" collapsed="false">
      <c r="B5" s="11" t="s">
        <v>182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B6" s="10" t="s">
        <v>183</v>
      </c>
    </row>
    <row r="7" customFormat="false" ht="15" hidden="false" customHeight="false" outlineLevel="0" collapsed="false">
      <c r="B7" s="3" t="s">
        <v>184</v>
      </c>
      <c r="C7" s="3" t="s">
        <v>104</v>
      </c>
      <c r="D7" s="3" t="s">
        <v>185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69</v>
      </c>
    </row>
    <row r="8" customFormat="false" ht="15" hidden="false" customHeight="false" outlineLevel="0" collapsed="false">
      <c r="B8" s="13" t="s">
        <v>186</v>
      </c>
      <c r="C8" s="13" t="s">
        <v>128</v>
      </c>
      <c r="D8" s="21" t="n">
        <f aca="false">Historicals!$E$38</f>
        <v>6914.7</v>
      </c>
      <c r="E8" s="21" t="n">
        <f aca="false">D8*(1+Inputs!$C$10)</f>
        <v>7329.582</v>
      </c>
      <c r="F8" s="21" t="n">
        <f aca="false">E8*(1+Inputs!$D$10)</f>
        <v>7329.582</v>
      </c>
      <c r="G8" s="21" t="n">
        <f aca="false">F8*(1+Inputs!$E$10)</f>
        <v>7182.99036</v>
      </c>
      <c r="H8" s="21" t="n">
        <f aca="false">G8*(1+Inputs!$F$10)</f>
        <v>7254.8202636</v>
      </c>
      <c r="I8" s="21" t="n">
        <f aca="false">H8*(1+Inputs!$G$10)</f>
        <v>7399.916668872</v>
      </c>
    </row>
    <row r="9" customFormat="false" ht="15" hidden="false" customHeight="false" outlineLevel="0" collapsed="false">
      <c r="B9" s="13" t="s">
        <v>187</v>
      </c>
      <c r="C9" s="13" t="s">
        <v>106</v>
      </c>
      <c r="D9" s="17" t="n">
        <f aca="false">Historicals!$E$38/Historicals!$D$38-1</f>
        <v>0.235098687148343</v>
      </c>
      <c r="E9" s="17" t="n">
        <f aca="false">E8/D8-1</f>
        <v>0.0600000000000001</v>
      </c>
      <c r="F9" s="17" t="n">
        <f aca="false">F8/E8-1</f>
        <v>0</v>
      </c>
      <c r="G9" s="17" t="n">
        <f aca="false">G8/F8-1</f>
        <v>-0.0200000000000001</v>
      </c>
      <c r="H9" s="17" t="n">
        <f aca="false">H8/G8-1</f>
        <v>0.01</v>
      </c>
      <c r="I9" s="17" t="n">
        <f aca="false">I8/H8-1</f>
        <v>0.02</v>
      </c>
    </row>
    <row r="10" customFormat="false" ht="15" hidden="false" customHeight="false" outlineLevel="0" collapsed="false">
      <c r="B10" s="13" t="s">
        <v>188</v>
      </c>
      <c r="C10" s="13" t="s">
        <v>128</v>
      </c>
      <c r="D10" s="21" t="n">
        <f aca="false">Historicals!$E$39</f>
        <v>1074.9</v>
      </c>
      <c r="E10" s="21" t="n">
        <f aca="false">D10*(1+Inputs!$C$16)</f>
        <v>967.41</v>
      </c>
      <c r="F10" s="21" t="n">
        <f aca="false">E10*(1+Inputs!$D$16)</f>
        <v>909.3654</v>
      </c>
      <c r="G10" s="21" t="n">
        <f aca="false">F10*(1+Inputs!$E$16)</f>
        <v>882.084438</v>
      </c>
      <c r="H10" s="21" t="n">
        <f aca="false">G10*(1+Inputs!$F$16)</f>
        <v>882.084438</v>
      </c>
      <c r="I10" s="21" t="n">
        <f aca="false">H10*(1+Inputs!$G$16)</f>
        <v>890.90528238</v>
      </c>
    </row>
    <row r="11" customFormat="false" ht="15" hidden="false" customHeight="false" outlineLevel="0" collapsed="false">
      <c r="B11" s="13" t="s">
        <v>187</v>
      </c>
      <c r="C11" s="13" t="s">
        <v>106</v>
      </c>
      <c r="D11" s="17" t="n">
        <f aca="false">Historicals!$E$39/Historicals!$D$39-1</f>
        <v>-0.102080026731267</v>
      </c>
      <c r="E11" s="17" t="n">
        <f aca="false">E10/D10-1</f>
        <v>-0.1</v>
      </c>
      <c r="F11" s="17" t="n">
        <f aca="false">F10/E10-1</f>
        <v>-0.0600000000000001</v>
      </c>
      <c r="G11" s="17" t="n">
        <f aca="false">G10/F10-1</f>
        <v>-0.03</v>
      </c>
      <c r="H11" s="17" t="n">
        <f aca="false">H10/G10-1</f>
        <v>0</v>
      </c>
      <c r="I11" s="17" t="n">
        <f aca="false">I10/H10-1</f>
        <v>0.01</v>
      </c>
    </row>
    <row r="12" customFormat="false" ht="15" hidden="false" customHeight="false" outlineLevel="0" collapsed="false">
      <c r="B12" s="15" t="s">
        <v>189</v>
      </c>
      <c r="C12" s="13" t="s">
        <v>128</v>
      </c>
      <c r="D12" s="30" t="n">
        <f aca="false">D8+D10</f>
        <v>7989.6</v>
      </c>
      <c r="E12" s="30" t="n">
        <f aca="false">E8+E10</f>
        <v>8296.992</v>
      </c>
      <c r="F12" s="30" t="n">
        <f aca="false">F8+F10</f>
        <v>8238.9474</v>
      </c>
      <c r="G12" s="30" t="n">
        <f aca="false">G8+G10</f>
        <v>8065.074798</v>
      </c>
      <c r="H12" s="30" t="n">
        <f aca="false">H8+H10</f>
        <v>8136.9047016</v>
      </c>
      <c r="I12" s="30" t="n">
        <f aca="false">I8+I10</f>
        <v>8290.821951252</v>
      </c>
    </row>
    <row r="13" customFormat="false" ht="15" hidden="false" customHeight="false" outlineLevel="0" collapsed="false">
      <c r="B13" s="13" t="s">
        <v>187</v>
      </c>
      <c r="C13" s="13" t="s">
        <v>106</v>
      </c>
      <c r="E13" s="17" t="n">
        <f aca="false">E12/D12-1</f>
        <v>0.0384740162210875</v>
      </c>
      <c r="F13" s="17" t="n">
        <f aca="false">F12/E12-1</f>
        <v>-0.00699586066854097</v>
      </c>
      <c r="G13" s="17" t="n">
        <f aca="false">G12/F12-1</f>
        <v>-0.021103739781128</v>
      </c>
      <c r="H13" s="17" t="n">
        <f aca="false">H12/G12-1</f>
        <v>0.00890629106351404</v>
      </c>
      <c r="I13" s="17" t="n">
        <f aca="false">I12/H12-1</f>
        <v>0.0189159459642847</v>
      </c>
    </row>
    <row r="14" customFormat="false" ht="15" hidden="false" customHeight="false" outlineLevel="0" collapsed="false">
      <c r="B14" s="13" t="s">
        <v>190</v>
      </c>
      <c r="C14" s="13" t="s">
        <v>128</v>
      </c>
      <c r="D14" s="21" t="n">
        <f aca="false">D12-D15</f>
        <v>1866.5</v>
      </c>
      <c r="E14" s="21" t="n">
        <f aca="false">E12-E15</f>
        <v>1949.79312</v>
      </c>
      <c r="F14" s="21" t="n">
        <f aca="false">F12-F15</f>
        <v>1977.347376</v>
      </c>
      <c r="G14" s="21" t="n">
        <f aca="false">G12-G15</f>
        <v>1975.94332551</v>
      </c>
      <c r="H14" s="21" t="n">
        <f aca="false">H12-H15</f>
        <v>1993.541651892</v>
      </c>
      <c r="I14" s="21" t="n">
        <f aca="false">I12-I15</f>
        <v>2031.25137805674</v>
      </c>
    </row>
    <row r="15" customFormat="false" ht="15" hidden="false" customHeight="false" outlineLevel="0" collapsed="false">
      <c r="B15" s="15" t="s">
        <v>191</v>
      </c>
      <c r="C15" s="13" t="s">
        <v>128</v>
      </c>
      <c r="D15" s="30" t="n">
        <f aca="false">Historicals!$E$27</f>
        <v>6123.1</v>
      </c>
      <c r="E15" s="30" t="n">
        <f aca="false">E12*Inputs!$C$22</f>
        <v>6347.19888</v>
      </c>
      <c r="F15" s="30" t="n">
        <f aca="false">F12*Inputs!$D$22</f>
        <v>6261.600024</v>
      </c>
      <c r="G15" s="30" t="n">
        <f aca="false">G12*Inputs!$E$22</f>
        <v>6089.13147249</v>
      </c>
      <c r="H15" s="30" t="n">
        <f aca="false">H12*Inputs!$F$22</f>
        <v>6143.363049708</v>
      </c>
      <c r="I15" s="30" t="n">
        <f aca="false">I12*Inputs!$G$22</f>
        <v>6259.57057319526</v>
      </c>
    </row>
    <row r="16" customFormat="false" ht="15" hidden="false" customHeight="false" outlineLevel="0" collapsed="false">
      <c r="B16" s="13" t="s">
        <v>192</v>
      </c>
      <c r="C16" s="13" t="s">
        <v>106</v>
      </c>
      <c r="D16" s="17" t="n">
        <f aca="false">D15/D12</f>
        <v>0.76638379893862</v>
      </c>
      <c r="E16" s="17" t="n">
        <f aca="false">E15/E12</f>
        <v>0.765</v>
      </c>
      <c r="F16" s="17" t="n">
        <f aca="false">F15/F12</f>
        <v>0.76</v>
      </c>
      <c r="G16" s="17" t="n">
        <f aca="false">G15/G12</f>
        <v>0.755</v>
      </c>
      <c r="H16" s="17" t="n">
        <f aca="false">H15/H12</f>
        <v>0.755</v>
      </c>
      <c r="I16" s="17" t="n">
        <f aca="false">I15/I12</f>
        <v>0.755</v>
      </c>
    </row>
    <row r="17" customFormat="false" ht="15" hidden="false" customHeight="false" outlineLevel="0" collapsed="false">
      <c r="B17" s="13" t="s">
        <v>193</v>
      </c>
      <c r="C17" s="13" t="s">
        <v>128</v>
      </c>
      <c r="D17" s="21" t="n">
        <f aca="false">Historicals!$E$28</f>
        <v>4257.3</v>
      </c>
      <c r="E17" s="21" t="n">
        <f aca="false">E15-E19</f>
        <v>4397.40576</v>
      </c>
      <c r="F17" s="21" t="n">
        <f aca="false">F15-F19</f>
        <v>4449.031596</v>
      </c>
      <c r="G17" s="21" t="n">
        <f aca="false">G15-G19</f>
        <v>4395.46576491</v>
      </c>
      <c r="H17" s="21" t="n">
        <f aca="false">H15-H19</f>
        <v>4475.29758588</v>
      </c>
      <c r="I17" s="21" t="n">
        <f aca="false">I15-I19</f>
        <v>4559.9520731886</v>
      </c>
    </row>
    <row r="18" customFormat="false" ht="15" hidden="false" customHeight="false" outlineLevel="0" collapsed="false">
      <c r="B18" s="13" t="s">
        <v>194</v>
      </c>
      <c r="C18" s="13" t="s">
        <v>106</v>
      </c>
      <c r="D18" s="17" t="n">
        <f aca="false">D17/D12</f>
        <v>0.532855211775308</v>
      </c>
      <c r="E18" s="17" t="n">
        <f aca="false">E17/E12</f>
        <v>0.53</v>
      </c>
      <c r="F18" s="17" t="n">
        <f aca="false">F17/F12</f>
        <v>0.54</v>
      </c>
      <c r="G18" s="17" t="n">
        <f aca="false">G17/G12</f>
        <v>0.545</v>
      </c>
      <c r="H18" s="17" t="n">
        <f aca="false">H17/H12</f>
        <v>0.55</v>
      </c>
      <c r="I18" s="17" t="n">
        <f aca="false">I17/I12</f>
        <v>0.55</v>
      </c>
    </row>
    <row r="19" customFormat="false" ht="15" hidden="false" customHeight="false" outlineLevel="0" collapsed="false">
      <c r="B19" s="15" t="s">
        <v>195</v>
      </c>
      <c r="C19" s="13" t="s">
        <v>128</v>
      </c>
      <c r="D19" s="30" t="n">
        <f aca="false">Historicals!$E$29</f>
        <v>1865.8</v>
      </c>
      <c r="E19" s="30" t="n">
        <f aca="false">E12*Inputs!$C$28</f>
        <v>1949.79312</v>
      </c>
      <c r="F19" s="30" t="n">
        <f aca="false">F12*Inputs!$D$28</f>
        <v>1812.568428</v>
      </c>
      <c r="G19" s="30" t="n">
        <f aca="false">G12*Inputs!$E$28</f>
        <v>1693.66570758</v>
      </c>
      <c r="H19" s="30" t="n">
        <f aca="false">H12*Inputs!$F$28</f>
        <v>1668.065463828</v>
      </c>
      <c r="I19" s="30" t="n">
        <f aca="false">I12*Inputs!$G$28</f>
        <v>1699.61850000666</v>
      </c>
    </row>
    <row r="20" customFormat="false" ht="15" hidden="false" customHeight="false" outlineLevel="0" collapsed="false">
      <c r="B20" s="13" t="s">
        <v>196</v>
      </c>
      <c r="C20" s="13" t="s">
        <v>106</v>
      </c>
      <c r="D20" s="17" t="n">
        <f aca="false">D19/D12</f>
        <v>0.233528587163312</v>
      </c>
      <c r="E20" s="17" t="n">
        <f aca="false">E19/E12</f>
        <v>0.235</v>
      </c>
      <c r="F20" s="17" t="n">
        <f aca="false">F19/F12</f>
        <v>0.22</v>
      </c>
      <c r="G20" s="17" t="n">
        <f aca="false">G19/G12</f>
        <v>0.21</v>
      </c>
      <c r="H20" s="17" t="n">
        <f aca="false">H19/H12</f>
        <v>0.205</v>
      </c>
      <c r="I20" s="17" t="n">
        <f aca="false">I19/I12</f>
        <v>0.205</v>
      </c>
    </row>
    <row r="21" customFormat="false" ht="28.35" hidden="false" customHeight="false" outlineLevel="0" collapsed="false">
      <c r="B21" s="13" t="s">
        <v>197</v>
      </c>
      <c r="C21" s="13" t="s">
        <v>128</v>
      </c>
      <c r="E21" s="21" t="n">
        <f aca="false">Historicals!$D$98*Historicals!$C$98+Historicals!$D$99*Historicals!$C$99+Historicals!$D$100*Historicals!$C$100+Historicals!$D$101*Historicals!$C$101</f>
        <v>111.10975</v>
      </c>
      <c r="F21" s="21" t="n">
        <f aca="false">Historicals!$D$98*WACC!$C$11+Historicals!$D$99*Historicals!$C$99+Historicals!$D$100*Historicals!$C$100+Historicals!$D$101*Historicals!$C$101</f>
        <v>119.536162592896</v>
      </c>
      <c r="G21" s="21" t="n">
        <f aca="false">Historicals!$D$98*WACC!$C$11+Historicals!$D$99*Historicals!$C$99+Historicals!$D$100*Historicals!$C$100+Historicals!$D$101*Historicals!$C$101</f>
        <v>119.536162592896</v>
      </c>
      <c r="H21" s="21" t="n">
        <f aca="false">Historicals!$D$98*WACC!$C$11+Historicals!$D$99*Historicals!$C$99+Historicals!$D$100*Historicals!$C$100+Historicals!$D$101*Historicals!$C$101</f>
        <v>119.536162592896</v>
      </c>
      <c r="I21" s="21" t="n">
        <f aca="false">Historicals!$D$98*WACC!$C$11+Historicals!$D$99*Historicals!$C$99+Historicals!$D$100*Historicals!$C$100+Historicals!$D$101*Historicals!$C$101</f>
        <v>119.536162592896</v>
      </c>
      <c r="J21" s="5" t="s">
        <v>198</v>
      </c>
    </row>
    <row r="22" customFormat="false" ht="15" hidden="false" customHeight="false" outlineLevel="0" collapsed="false">
      <c r="B22" s="13" t="s">
        <v>155</v>
      </c>
      <c r="C22" s="13" t="s">
        <v>128</v>
      </c>
      <c r="E22" s="21" t="n">
        <f aca="false">(D33+D34)*Inputs!$C$48</f>
        <v>46.08</v>
      </c>
      <c r="F22" s="21" t="n">
        <f aca="false">(E33+E34)*Inputs!$C$48</f>
        <v>40.6971335184</v>
      </c>
      <c r="G22" s="21" t="n">
        <f aca="false">(F33+F34)*Inputs!$C$48</f>
        <v>40.6971335184</v>
      </c>
      <c r="H22" s="21" t="n">
        <f aca="false">(G33+G34)*Inputs!$C$48</f>
        <v>40.6971335184</v>
      </c>
      <c r="I22" s="21" t="n">
        <f aca="false">(H33+H34)*Inputs!$C$48</f>
        <v>40.6971335184</v>
      </c>
      <c r="J22" s="5" t="s">
        <v>199</v>
      </c>
    </row>
    <row r="23" customFormat="false" ht="15" hidden="false" customHeight="false" outlineLevel="0" collapsed="false">
      <c r="B23" s="13" t="s">
        <v>200</v>
      </c>
      <c r="C23" s="13" t="s">
        <v>128</v>
      </c>
      <c r="D23" s="21" t="n">
        <f aca="false">Historicals!$E$30+Historicals!$E$31</f>
        <v>53.8</v>
      </c>
      <c r="E23" s="21" t="n">
        <f aca="false">E21-E22</f>
        <v>65.02975</v>
      </c>
      <c r="F23" s="21" t="n">
        <f aca="false">F21-F22</f>
        <v>78.8390290744959</v>
      </c>
      <c r="G23" s="21" t="n">
        <f aca="false">G21-G22</f>
        <v>78.8390290744959</v>
      </c>
      <c r="H23" s="21" t="n">
        <f aca="false">H21-H22</f>
        <v>78.8390290744959</v>
      </c>
      <c r="I23" s="21" t="n">
        <f aca="false">I21-I22</f>
        <v>78.8390290744959</v>
      </c>
    </row>
    <row r="24" customFormat="false" ht="15" hidden="false" customHeight="false" outlineLevel="0" collapsed="false">
      <c r="B24" s="13" t="s">
        <v>201</v>
      </c>
      <c r="C24" s="13" t="s">
        <v>128</v>
      </c>
      <c r="D24" s="21" t="n">
        <f aca="false">D19-D23</f>
        <v>1812</v>
      </c>
      <c r="E24" s="21" t="n">
        <f aca="false">E19-E23</f>
        <v>1884.76337</v>
      </c>
      <c r="F24" s="21" t="n">
        <f aca="false">F19-F23</f>
        <v>1733.7293989255</v>
      </c>
      <c r="G24" s="21" t="n">
        <f aca="false">G19-G23</f>
        <v>1614.8266785055</v>
      </c>
      <c r="H24" s="21" t="n">
        <f aca="false">H19-H23</f>
        <v>1589.2264347535</v>
      </c>
      <c r="I24" s="21" t="n">
        <f aca="false">I19-I23</f>
        <v>1620.77947093216</v>
      </c>
    </row>
    <row r="25" customFormat="false" ht="15" hidden="false" customHeight="false" outlineLevel="0" collapsed="false">
      <c r="B25" s="13" t="s">
        <v>202</v>
      </c>
      <c r="C25" s="13" t="s">
        <v>128</v>
      </c>
      <c r="D25" s="21" t="n">
        <f aca="false">Historicals!$E$32</f>
        <v>330</v>
      </c>
      <c r="E25" s="21" t="n">
        <f aca="false">E24*Inputs!$C$33</f>
        <v>343.02693334</v>
      </c>
      <c r="F25" s="21" t="n">
        <f aca="false">F24*Inputs!$C$33</f>
        <v>315.538750604442</v>
      </c>
      <c r="G25" s="21" t="n">
        <f aca="false">G24*Inputs!$C$33</f>
        <v>293.898455488002</v>
      </c>
      <c r="H25" s="21" t="n">
        <f aca="false">H24*Inputs!$C$33</f>
        <v>289.239211125138</v>
      </c>
      <c r="I25" s="21" t="n">
        <f aca="false">I24*Inputs!$C$33</f>
        <v>294.981863709654</v>
      </c>
    </row>
    <row r="26" customFormat="false" ht="15" hidden="false" customHeight="false" outlineLevel="0" collapsed="false">
      <c r="B26" s="15" t="s">
        <v>203</v>
      </c>
      <c r="C26" s="13" t="s">
        <v>128</v>
      </c>
      <c r="D26" s="30" t="n">
        <f aca="false">D24-D25</f>
        <v>1482</v>
      </c>
      <c r="E26" s="30" t="n">
        <f aca="false">E24-E25</f>
        <v>1541.73643666</v>
      </c>
      <c r="F26" s="30" t="n">
        <f aca="false">F24-F25</f>
        <v>1418.19064832106</v>
      </c>
      <c r="G26" s="30" t="n">
        <f aca="false">G24-G25</f>
        <v>1320.9282230175</v>
      </c>
      <c r="H26" s="30" t="n">
        <f aca="false">H24-H25</f>
        <v>1299.98722362837</v>
      </c>
      <c r="I26" s="30" t="n">
        <f aca="false">I24-I25</f>
        <v>1325.79760722251</v>
      </c>
    </row>
    <row r="27" customFormat="false" ht="15" hidden="false" customHeight="false" outlineLevel="0" collapsed="false">
      <c r="B27" s="13" t="s">
        <v>204</v>
      </c>
      <c r="C27" s="13" t="s">
        <v>167</v>
      </c>
      <c r="D27" s="26" t="n">
        <f aca="false">Historicals!$E$20</f>
        <v>210.2</v>
      </c>
      <c r="E27" s="26" t="n">
        <f aca="false">(D70+E70)/2+Inputs!$C$57</f>
        <v>201.259106605549</v>
      </c>
      <c r="F27" s="26" t="n">
        <f aca="false">(E70+F70)/2+Inputs!$C$57</f>
        <v>194.046883844783</v>
      </c>
      <c r="G27" s="26" t="n">
        <f aca="false">(F70+G70)/2+Inputs!$C$57</f>
        <v>189.037344929851</v>
      </c>
      <c r="H27" s="26" t="n">
        <f aca="false">(G70+H70)/2+Inputs!$C$57</f>
        <v>185.132596178515</v>
      </c>
      <c r="I27" s="26" t="n">
        <f aca="false">(H70+I70)/2+Inputs!$C$57</f>
        <v>181.799881441898</v>
      </c>
    </row>
    <row r="28" customFormat="false" ht="15" hidden="false" customHeight="false" outlineLevel="0" collapsed="false">
      <c r="B28" s="15" t="s">
        <v>205</v>
      </c>
      <c r="C28" s="13" t="s">
        <v>142</v>
      </c>
      <c r="D28" s="16" t="n">
        <f aca="false">D26/D27</f>
        <v>7.05042816365366</v>
      </c>
      <c r="E28" s="16" t="n">
        <f aca="false">E26/E27</f>
        <v>7.66045553248765</v>
      </c>
      <c r="F28" s="16" t="n">
        <f aca="false">F26/F27</f>
        <v>7.30849483496714</v>
      </c>
      <c r="G28" s="16" t="n">
        <f aca="false">G26/G27</f>
        <v>6.98765751025377</v>
      </c>
      <c r="H28" s="16" t="n">
        <f aca="false">H26/H27</f>
        <v>7.02192509834868</v>
      </c>
      <c r="I28" s="16" t="n">
        <f aca="false">I26/I27</f>
        <v>7.29262085710559</v>
      </c>
    </row>
    <row r="29" customFormat="false" ht="15" hidden="false" customHeight="false" outlineLevel="0" collapsed="false">
      <c r="B29" s="22" t="s">
        <v>187</v>
      </c>
      <c r="C29" s="22" t="s">
        <v>106</v>
      </c>
      <c r="D29" s="24"/>
      <c r="E29" s="20" t="n">
        <f aca="false">E28/D28-1</f>
        <v>0.0865234500195031</v>
      </c>
      <c r="F29" s="20" t="n">
        <f aca="false">F28/E28-1</f>
        <v>-0.0459451394277868</v>
      </c>
      <c r="G29" s="20" t="n">
        <f aca="false">G28/F28-1</f>
        <v>-0.0438992339678951</v>
      </c>
      <c r="H29" s="20" t="n">
        <f aca="false">H28/G28-1</f>
        <v>0.00490401655270434</v>
      </c>
      <c r="I29" s="20" t="n">
        <f aca="false">I28/H28-1</f>
        <v>0.038550077787153</v>
      </c>
      <c r="J29" s="24"/>
    </row>
    <row r="31" customFormat="false" ht="15" hidden="false" customHeight="false" outlineLevel="0" collapsed="false">
      <c r="B31" s="11" t="s">
        <v>206</v>
      </c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B32" s="3" t="s">
        <v>184</v>
      </c>
      <c r="C32" s="3" t="s">
        <v>104</v>
      </c>
      <c r="D32" s="3" t="s">
        <v>185</v>
      </c>
      <c r="E32" s="3" t="s">
        <v>99</v>
      </c>
      <c r="F32" s="3" t="s">
        <v>100</v>
      </c>
      <c r="G32" s="3" t="s">
        <v>101</v>
      </c>
      <c r="H32" s="3" t="s">
        <v>102</v>
      </c>
      <c r="I32" s="3" t="s">
        <v>103</v>
      </c>
      <c r="J32" s="3" t="s">
        <v>69</v>
      </c>
    </row>
    <row r="33" customFormat="false" ht="15" hidden="false" customHeight="false" outlineLevel="0" collapsed="false">
      <c r="B33" s="13" t="s">
        <v>207</v>
      </c>
      <c r="C33" s="13" t="s">
        <v>128</v>
      </c>
      <c r="D33" s="21" t="n">
        <f aca="false">Historicals!$E$64</f>
        <v>974.7</v>
      </c>
      <c r="E33" s="21" t="n">
        <f aca="false">E64</f>
        <v>840.12833796</v>
      </c>
      <c r="F33" s="21" t="n">
        <f aca="false">F64</f>
        <v>840.12833796</v>
      </c>
      <c r="G33" s="21" t="n">
        <f aca="false">G64</f>
        <v>840.12833796</v>
      </c>
      <c r="H33" s="21" t="n">
        <f aca="false">H64</f>
        <v>840.12833796</v>
      </c>
      <c r="I33" s="21" t="n">
        <f aca="false">I64</f>
        <v>840.12833796</v>
      </c>
    </row>
    <row r="34" customFormat="false" ht="15" hidden="false" customHeight="false" outlineLevel="0" collapsed="false">
      <c r="B34" s="13" t="s">
        <v>208</v>
      </c>
      <c r="C34" s="13" t="s">
        <v>128</v>
      </c>
      <c r="D34" s="21" t="n">
        <f aca="false">Historicals!$E$65</f>
        <v>177.3</v>
      </c>
      <c r="E34" s="21" t="n">
        <f aca="false">D34</f>
        <v>177.3</v>
      </c>
      <c r="F34" s="21" t="n">
        <f aca="false">E34</f>
        <v>177.3</v>
      </c>
      <c r="G34" s="21" t="n">
        <f aca="false">F34</f>
        <v>177.3</v>
      </c>
      <c r="H34" s="21" t="n">
        <f aca="false">G34</f>
        <v>177.3</v>
      </c>
      <c r="I34" s="21" t="n">
        <f aca="false">H34</f>
        <v>177.3</v>
      </c>
    </row>
    <row r="35" customFormat="false" ht="15" hidden="false" customHeight="false" outlineLevel="0" collapsed="false">
      <c r="B35" s="13" t="s">
        <v>209</v>
      </c>
      <c r="C35" s="13" t="s">
        <v>128</v>
      </c>
      <c r="D35" s="21" t="n">
        <f aca="false">Historicals!$E$66</f>
        <v>237.1</v>
      </c>
      <c r="E35" s="21" t="n">
        <f aca="false">E12*Inputs!$C$37/365</f>
        <v>245.500037260274</v>
      </c>
      <c r="F35" s="21" t="n">
        <f aca="false">F12*Inputs!$C$37/365</f>
        <v>243.78255320548</v>
      </c>
      <c r="G35" s="21" t="n">
        <f aca="false">G12*Inputs!$C$37/365</f>
        <v>238.637829639452</v>
      </c>
      <c r="H35" s="21" t="n">
        <f aca="false">H12*Inputs!$C$37/365</f>
        <v>240.763207608986</v>
      </c>
      <c r="I35" s="21" t="n">
        <f aca="false">I12*Inputs!$C$37/365</f>
        <v>245.317471434306</v>
      </c>
    </row>
    <row r="36" customFormat="false" ht="15" hidden="false" customHeight="false" outlineLevel="0" collapsed="false">
      <c r="B36" s="13" t="s">
        <v>210</v>
      </c>
      <c r="C36" s="13" t="s">
        <v>128</v>
      </c>
      <c r="D36" s="21" t="n">
        <f aca="false">Historicals!$E$67</f>
        <v>826.2</v>
      </c>
      <c r="E36" s="21" t="n">
        <f aca="false">E14*Inputs!$C$38/365</f>
        <v>863.250871758904</v>
      </c>
      <c r="F36" s="21" t="n">
        <f aca="false">F14*Inputs!$C$38/365</f>
        <v>875.450235511233</v>
      </c>
      <c r="G36" s="21" t="n">
        <f aca="false">G14*Inputs!$C$38/365</f>
        <v>874.828606581962</v>
      </c>
      <c r="H36" s="21" t="n">
        <f aca="false">H14*Inputs!$C$38/365</f>
        <v>882.620084782869</v>
      </c>
      <c r="I36" s="21" t="n">
        <f aca="false">I14*Inputs!$C$38/365</f>
        <v>899.315678613614</v>
      </c>
    </row>
    <row r="37" customFormat="false" ht="15" hidden="false" customHeight="false" outlineLevel="0" collapsed="false">
      <c r="B37" s="13" t="s">
        <v>211</v>
      </c>
      <c r="C37" s="13" t="s">
        <v>128</v>
      </c>
      <c r="D37" s="21" t="n">
        <f aca="false">Historicals!$E$68</f>
        <v>667</v>
      </c>
      <c r="E37" s="21" t="n">
        <f aca="false">D37</f>
        <v>667</v>
      </c>
      <c r="F37" s="21" t="n">
        <f aca="false">E37</f>
        <v>667</v>
      </c>
      <c r="G37" s="21" t="n">
        <f aca="false">F37</f>
        <v>667</v>
      </c>
      <c r="H37" s="21" t="n">
        <f aca="false">G37</f>
        <v>667</v>
      </c>
      <c r="I37" s="21" t="n">
        <f aca="false">H37</f>
        <v>667</v>
      </c>
    </row>
    <row r="38" customFormat="false" ht="15" hidden="false" customHeight="false" outlineLevel="0" collapsed="false">
      <c r="B38" s="13" t="s">
        <v>212</v>
      </c>
      <c r="C38" s="13" t="s">
        <v>128</v>
      </c>
      <c r="D38" s="21" t="n">
        <f aca="false">Historicals!$E$69</f>
        <v>502.1</v>
      </c>
      <c r="E38" s="21" t="n">
        <f aca="false">D38+E59-E55</f>
        <v>578.081216</v>
      </c>
      <c r="F38" s="21" t="n">
        <f aca="false">E38+F59-F55</f>
        <v>627.5149004</v>
      </c>
      <c r="G38" s="21" t="n">
        <f aca="false">F38+G59-G55</f>
        <v>675.905349188</v>
      </c>
      <c r="H38" s="21" t="n">
        <f aca="false">G38+H59-H55</f>
        <v>724.7267773976</v>
      </c>
      <c r="I38" s="21" t="n">
        <f aca="false">H38+I59-I55</f>
        <v>774.471709105112</v>
      </c>
    </row>
    <row r="39" customFormat="false" ht="15" hidden="false" customHeight="false" outlineLevel="0" collapsed="false">
      <c r="B39" s="13" t="s">
        <v>213</v>
      </c>
      <c r="C39" s="13" t="s">
        <v>128</v>
      </c>
      <c r="D39" s="21" t="n">
        <f aca="false">Historicals!$E$70</f>
        <v>1417.2</v>
      </c>
      <c r="E39" s="21" t="n">
        <f aca="false">D39</f>
        <v>1417.2</v>
      </c>
      <c r="F39" s="21" t="n">
        <f aca="false">E39</f>
        <v>1417.2</v>
      </c>
      <c r="G39" s="21" t="n">
        <f aca="false">F39</f>
        <v>1417.2</v>
      </c>
      <c r="H39" s="21" t="n">
        <f aca="false">G39</f>
        <v>1417.2</v>
      </c>
      <c r="I39" s="21" t="n">
        <f aca="false">H39</f>
        <v>1417.2</v>
      </c>
    </row>
    <row r="40" customFormat="false" ht="15" hidden="false" customHeight="false" outlineLevel="0" collapsed="false">
      <c r="B40" s="13" t="s">
        <v>214</v>
      </c>
      <c r="C40" s="13" t="s">
        <v>128</v>
      </c>
      <c r="D40" s="21" t="n">
        <f aca="false">Historicals!$E$71+Historicals!$E$72</f>
        <v>1674.2</v>
      </c>
      <c r="E40" s="21" t="n">
        <f aca="false">D40</f>
        <v>1674.2</v>
      </c>
      <c r="F40" s="21" t="n">
        <f aca="false">E40</f>
        <v>1674.2</v>
      </c>
      <c r="G40" s="21" t="n">
        <f aca="false">F40</f>
        <v>1674.2</v>
      </c>
      <c r="H40" s="21" t="n">
        <f aca="false">G40</f>
        <v>1674.2</v>
      </c>
      <c r="I40" s="21" t="n">
        <f aca="false">H40</f>
        <v>1674.2</v>
      </c>
    </row>
    <row r="41" customFormat="false" ht="15" hidden="false" customHeight="false" outlineLevel="0" collapsed="false">
      <c r="B41" s="13" t="s">
        <v>215</v>
      </c>
      <c r="C41" s="13" t="s">
        <v>128</v>
      </c>
      <c r="D41" s="21" t="n">
        <f aca="false">Historicals!$E$73</f>
        <v>215.9</v>
      </c>
      <c r="E41" s="21" t="n">
        <f aca="false">D41</f>
        <v>215.9</v>
      </c>
      <c r="F41" s="21" t="n">
        <f aca="false">E41</f>
        <v>215.9</v>
      </c>
      <c r="G41" s="21" t="n">
        <f aca="false">F41</f>
        <v>215.9</v>
      </c>
      <c r="H41" s="21" t="n">
        <f aca="false">G41</f>
        <v>215.9</v>
      </c>
      <c r="I41" s="21" t="n">
        <f aca="false">H41</f>
        <v>215.9</v>
      </c>
    </row>
    <row r="42" customFormat="false" ht="15" hidden="false" customHeight="false" outlineLevel="0" collapsed="false">
      <c r="B42" s="15" t="s">
        <v>216</v>
      </c>
      <c r="C42" s="13" t="s">
        <v>128</v>
      </c>
      <c r="D42" s="30" t="n">
        <f aca="false">SUM(D33:D41)</f>
        <v>6691.7</v>
      </c>
      <c r="E42" s="30" t="n">
        <f aca="false">SUM(E33:E41)</f>
        <v>6678.56046297918</v>
      </c>
      <c r="F42" s="30" t="n">
        <f aca="false">SUM(F33:F41)</f>
        <v>6738.47602707671</v>
      </c>
      <c r="G42" s="30" t="n">
        <f aca="false">SUM(G33:G41)</f>
        <v>6781.10012336941</v>
      </c>
      <c r="H42" s="30" t="n">
        <f aca="false">SUM(H33:H41)</f>
        <v>6839.83840774946</v>
      </c>
      <c r="I42" s="30" t="n">
        <f aca="false">SUM(I33:I41)</f>
        <v>6910.83319711303</v>
      </c>
    </row>
    <row r="43" customFormat="false" ht="15" hidden="false" customHeight="false" outlineLevel="0" collapsed="false">
      <c r="B43" s="13" t="s">
        <v>217</v>
      </c>
      <c r="C43" s="13" t="s">
        <v>128</v>
      </c>
      <c r="D43" s="21" t="n">
        <f aca="false">Historicals!$E$75</f>
        <v>582.3</v>
      </c>
      <c r="E43" s="21" t="n">
        <f aca="false">E14*Inputs!$C$39/365</f>
        <v>608.442291419178</v>
      </c>
      <c r="F43" s="21" t="n">
        <f aca="false">F14*Inputs!$C$39/365</f>
        <v>617.040729113425</v>
      </c>
      <c r="G43" s="21" t="n">
        <f aca="false">G14*Inputs!$C$39/365</f>
        <v>616.602588426271</v>
      </c>
      <c r="H43" s="21" t="n">
        <f aca="false">H14*Inputs!$C$39/365</f>
        <v>622.094230549312</v>
      </c>
      <c r="I43" s="21" t="n">
        <f aca="false">I14*Inputs!$C$39/365</f>
        <v>633.861731399076</v>
      </c>
    </row>
    <row r="44" customFormat="false" ht="15" hidden="false" customHeight="false" outlineLevel="0" collapsed="false">
      <c r="B44" s="13" t="s">
        <v>138</v>
      </c>
      <c r="C44" s="13" t="s">
        <v>128</v>
      </c>
      <c r="D44" s="21" t="n">
        <f aca="false">Historicals!$E$76</f>
        <v>754.9</v>
      </c>
      <c r="E44" s="21" t="n">
        <f aca="false">E12*Inputs!$C$40</f>
        <v>784.065744</v>
      </c>
      <c r="F44" s="21" t="n">
        <f aca="false">F12*Inputs!$C$40</f>
        <v>778.5805293</v>
      </c>
      <c r="G44" s="21" t="n">
        <f aca="false">G12*Inputs!$C$40</f>
        <v>762.149568411</v>
      </c>
      <c r="H44" s="21" t="n">
        <f aca="false">H12*Inputs!$C$40</f>
        <v>768.9374943012</v>
      </c>
      <c r="I44" s="21" t="n">
        <f aca="false">I12*Inputs!$C$40</f>
        <v>783.482674393314</v>
      </c>
    </row>
    <row r="45" customFormat="false" ht="15" hidden="false" customHeight="false" outlineLevel="0" collapsed="false">
      <c r="B45" s="13" t="s">
        <v>218</v>
      </c>
      <c r="C45" s="13" t="s">
        <v>128</v>
      </c>
      <c r="D45" s="21" t="n">
        <f aca="false">Historicals!$E$77+Historicals!$E$80</f>
        <v>1574</v>
      </c>
      <c r="E45" s="21" t="n">
        <f aca="false">D45</f>
        <v>1574</v>
      </c>
      <c r="F45" s="21" t="n">
        <f aca="false">E45</f>
        <v>1574</v>
      </c>
      <c r="G45" s="21" t="n">
        <f aca="false">F45</f>
        <v>1574</v>
      </c>
      <c r="H45" s="21" t="n">
        <f aca="false">G45</f>
        <v>1574</v>
      </c>
      <c r="I45" s="21" t="n">
        <f aca="false">H45</f>
        <v>1574</v>
      </c>
    </row>
    <row r="46" customFormat="false" ht="15" hidden="false" customHeight="false" outlineLevel="0" collapsed="false">
      <c r="B46" s="13" t="s">
        <v>219</v>
      </c>
      <c r="C46" s="13" t="s">
        <v>128</v>
      </c>
      <c r="D46" s="21" t="n">
        <f aca="false">Historicals!$E$79+Historicals!$E$78</f>
        <v>2379</v>
      </c>
      <c r="E46" s="21" t="n">
        <f aca="false">D46</f>
        <v>2379</v>
      </c>
      <c r="F46" s="21" t="n">
        <f aca="false">E46</f>
        <v>2379</v>
      </c>
      <c r="G46" s="21" t="n">
        <f aca="false">F46</f>
        <v>2379</v>
      </c>
      <c r="H46" s="21" t="n">
        <f aca="false">G46</f>
        <v>2379</v>
      </c>
      <c r="I46" s="21" t="n">
        <f aca="false">H46</f>
        <v>2379</v>
      </c>
      <c r="J46" s="5" t="s">
        <v>220</v>
      </c>
    </row>
    <row r="47" customFormat="false" ht="15" hidden="false" customHeight="false" outlineLevel="0" collapsed="false">
      <c r="B47" s="13" t="s">
        <v>221</v>
      </c>
      <c r="C47" s="13" t="s">
        <v>128</v>
      </c>
      <c r="D47" s="21" t="n">
        <f aca="false">Historicals!$E$81</f>
        <v>709.4</v>
      </c>
      <c r="E47" s="21" t="n">
        <f aca="false">D47</f>
        <v>709.4</v>
      </c>
      <c r="F47" s="21" t="n">
        <f aca="false">E47</f>
        <v>709.4</v>
      </c>
      <c r="G47" s="21" t="n">
        <f aca="false">F47</f>
        <v>709.4</v>
      </c>
      <c r="H47" s="21" t="n">
        <f aca="false">G47</f>
        <v>709.4</v>
      </c>
      <c r="I47" s="21" t="n">
        <f aca="false">H47</f>
        <v>709.4</v>
      </c>
    </row>
    <row r="48" customFormat="false" ht="15" hidden="false" customHeight="false" outlineLevel="0" collapsed="false">
      <c r="B48" s="15" t="s">
        <v>222</v>
      </c>
      <c r="C48" s="13" t="s">
        <v>128</v>
      </c>
      <c r="D48" s="30" t="n">
        <f aca="false">SUM(D43:D47)</f>
        <v>5999.6</v>
      </c>
      <c r="E48" s="30" t="n">
        <f aca="false">SUM(E43:E47)</f>
        <v>6054.90803541918</v>
      </c>
      <c r="F48" s="30" t="n">
        <f aca="false">SUM(F43:F47)</f>
        <v>6058.02125841342</v>
      </c>
      <c r="G48" s="30" t="n">
        <f aca="false">SUM(G43:G47)</f>
        <v>6041.15215683727</v>
      </c>
      <c r="H48" s="30" t="n">
        <f aca="false">SUM(H43:H47)</f>
        <v>6053.43172485051</v>
      </c>
      <c r="I48" s="30" t="n">
        <f aca="false">SUM(I43:I47)</f>
        <v>6079.74440579239</v>
      </c>
    </row>
    <row r="49" customFormat="false" ht="15" hidden="false" customHeight="false" outlineLevel="0" collapsed="false">
      <c r="B49" s="13" t="s">
        <v>223</v>
      </c>
      <c r="C49" s="13" t="s">
        <v>128</v>
      </c>
      <c r="D49" s="21" t="n">
        <f aca="false">Historicals!$E$83</f>
        <v>692.1</v>
      </c>
      <c r="E49" s="21" t="n">
        <f aca="false">D49+E26+E56-E61-E62</f>
        <v>623.65242756</v>
      </c>
      <c r="F49" s="21" t="n">
        <f aca="false">E49+F26+F56-F61-F62</f>
        <v>680.454768663287</v>
      </c>
      <c r="G49" s="21" t="n">
        <f aca="false">F49+G26+G56-G61-G62</f>
        <v>739.947966532142</v>
      </c>
      <c r="H49" s="21" t="n">
        <f aca="false">G49+H26+H56-H61-H62</f>
        <v>786.406682898943</v>
      </c>
      <c r="I49" s="21" t="n">
        <f aca="false">H49+I26+I56-I61-I62</f>
        <v>831.088791320641</v>
      </c>
    </row>
    <row r="50" customFormat="false" ht="15" hidden="false" customHeight="false" outlineLevel="0" collapsed="false">
      <c r="B50" s="22" t="s">
        <v>224</v>
      </c>
      <c r="C50" s="22" t="s">
        <v>128</v>
      </c>
      <c r="D50" s="31" t="n">
        <f aca="false">D42-D48-D49</f>
        <v>0</v>
      </c>
      <c r="E50" s="31" t="n">
        <f aca="false">ROUND(E42-E48-E49,3)</f>
        <v>0</v>
      </c>
      <c r="F50" s="31" t="n">
        <f aca="false">ROUND(F42-F48-F49,3)</f>
        <v>0</v>
      </c>
      <c r="G50" s="31" t="n">
        <f aca="false">ROUND(G42-G48-G49,3)</f>
        <v>0</v>
      </c>
      <c r="H50" s="31" t="n">
        <f aca="false">ROUND(H42-H48-H49,3)</f>
        <v>0</v>
      </c>
      <c r="I50" s="31" t="n">
        <f aca="false">ROUND(I42-I48-I49,3)</f>
        <v>0</v>
      </c>
      <c r="J50" s="7" t="s">
        <v>225</v>
      </c>
    </row>
    <row r="52" customFormat="false" ht="15" hidden="false" customHeight="false" outlineLevel="0" collapsed="false">
      <c r="B52" s="11" t="s">
        <v>226</v>
      </c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B53" s="3" t="s">
        <v>184</v>
      </c>
      <c r="C53" s="3" t="s">
        <v>104</v>
      </c>
      <c r="D53" s="3" t="s">
        <v>185</v>
      </c>
      <c r="E53" s="3" t="s">
        <v>99</v>
      </c>
      <c r="F53" s="3" t="s">
        <v>100</v>
      </c>
      <c r="G53" s="3" t="s">
        <v>101</v>
      </c>
      <c r="H53" s="3" t="s">
        <v>102</v>
      </c>
      <c r="I53" s="3" t="s">
        <v>103</v>
      </c>
      <c r="J53" s="3" t="s">
        <v>69</v>
      </c>
    </row>
    <row r="54" customFormat="false" ht="15" hidden="false" customHeight="false" outlineLevel="0" collapsed="false">
      <c r="B54" s="13" t="s">
        <v>227</v>
      </c>
      <c r="C54" s="13" t="s">
        <v>128</v>
      </c>
      <c r="E54" s="21" t="n">
        <f aca="false">E26</f>
        <v>1541.73643666</v>
      </c>
      <c r="F54" s="21" t="n">
        <f aca="false">F26</f>
        <v>1418.19064832106</v>
      </c>
      <c r="G54" s="21" t="n">
        <f aca="false">G26</f>
        <v>1320.9282230175</v>
      </c>
      <c r="H54" s="21" t="n">
        <f aca="false">H26</f>
        <v>1299.98722362837</v>
      </c>
      <c r="I54" s="21" t="n">
        <f aca="false">I26</f>
        <v>1325.79760722251</v>
      </c>
    </row>
    <row r="55" customFormat="false" ht="15" hidden="false" customHeight="false" outlineLevel="0" collapsed="false">
      <c r="B55" s="13" t="s">
        <v>228</v>
      </c>
      <c r="C55" s="13" t="s">
        <v>128</v>
      </c>
      <c r="E55" s="21" t="n">
        <f aca="false">E12*Inputs!$C$34</f>
        <v>224.018784</v>
      </c>
      <c r="F55" s="21" t="n">
        <f aca="false">F12*Inputs!$C$34</f>
        <v>222.4515798</v>
      </c>
      <c r="G55" s="21" t="n">
        <f aca="false">G12*Inputs!$C$34</f>
        <v>217.757019546</v>
      </c>
      <c r="H55" s="21" t="n">
        <f aca="false">H12*Inputs!$C$34</f>
        <v>219.6964269432</v>
      </c>
      <c r="I55" s="21" t="n">
        <f aca="false">I12*Inputs!$C$34</f>
        <v>223.852192683804</v>
      </c>
    </row>
    <row r="56" customFormat="false" ht="15" hidden="false" customHeight="false" outlineLevel="0" collapsed="false">
      <c r="B56" s="13" t="s">
        <v>139</v>
      </c>
      <c r="C56" s="13" t="s">
        <v>128</v>
      </c>
      <c r="E56" s="21" t="n">
        <f aca="false">E12*Inputs!$C$41</f>
        <v>108.6905952</v>
      </c>
      <c r="F56" s="21" t="n">
        <f aca="false">F12*Inputs!$C$41</f>
        <v>107.93021094</v>
      </c>
      <c r="G56" s="21" t="n">
        <f aca="false">G12*Inputs!$C$41</f>
        <v>105.6524798538</v>
      </c>
      <c r="H56" s="21" t="n">
        <f aca="false">H12*Inputs!$C$41</f>
        <v>106.59345159096</v>
      </c>
      <c r="I56" s="21" t="n">
        <f aca="false">I12*Inputs!$C$41</f>
        <v>108.609767561401</v>
      </c>
    </row>
    <row r="57" customFormat="false" ht="15" hidden="false" customHeight="false" outlineLevel="0" collapsed="false">
      <c r="B57" s="13" t="s">
        <v>229</v>
      </c>
      <c r="C57" s="13" t="s">
        <v>128</v>
      </c>
      <c r="E57" s="21" t="n">
        <f aca="false">-(E35-D35)-(E36-D36)+(E43-D43)+(E44-D44)</f>
        <v>9.85712640000017</v>
      </c>
      <c r="F57" s="21" t="n">
        <f aca="false">-(F35-E35)-(F36-E36)+(F43-E43)+(F44-E44)</f>
        <v>-7.36865670328766</v>
      </c>
      <c r="G57" s="21" t="n">
        <f aca="false">-(G35-F35)-(G36-F36)+(G43-F43)+(G44-F44)</f>
        <v>-11.1027490808548</v>
      </c>
      <c r="H57" s="21" t="n">
        <f aca="false">-(H35-G35)-(H36-G36)+(H43-G43)+(H44-G44)</f>
        <v>2.36271184279889</v>
      </c>
      <c r="I57" s="21" t="n">
        <f aca="false">-(I35-H35)-(I36-H36)+(I43-H43)+(I44-H44)</f>
        <v>5.06282328581338</v>
      </c>
    </row>
    <row r="58" customFormat="false" ht="15" hidden="false" customHeight="false" outlineLevel="0" collapsed="false">
      <c r="B58" s="15" t="s">
        <v>230</v>
      </c>
      <c r="C58" s="13" t="s">
        <v>128</v>
      </c>
      <c r="D58" s="30" t="n">
        <f aca="false">Historicals!$E$88</f>
        <v>1978.5</v>
      </c>
      <c r="E58" s="30" t="n">
        <f aca="false">E54+E55+E56+E57</f>
        <v>1884.30294226</v>
      </c>
      <c r="F58" s="30" t="n">
        <f aca="false">F54+F55+F56+F57</f>
        <v>1741.20378235778</v>
      </c>
      <c r="G58" s="30" t="n">
        <f aca="false">G54+G55+G56+G57</f>
        <v>1633.23497333645</v>
      </c>
      <c r="H58" s="30" t="n">
        <f aca="false">H54+H55+H56+H57</f>
        <v>1628.63981400533</v>
      </c>
      <c r="I58" s="30" t="n">
        <f aca="false">I54+I55+I56+I57</f>
        <v>1663.32239075353</v>
      </c>
    </row>
    <row r="59" customFormat="false" ht="15" hidden="false" customHeight="false" outlineLevel="0" collapsed="false">
      <c r="B59" s="13" t="s">
        <v>231</v>
      </c>
      <c r="C59" s="13" t="s">
        <v>128</v>
      </c>
      <c r="E59" s="21" t="n">
        <f aca="false">Inputs!$C$35</f>
        <v>300</v>
      </c>
      <c r="F59" s="21" t="n">
        <f aca="false">F12*Inputs!$C$36</f>
        <v>271.8852642</v>
      </c>
      <c r="G59" s="21" t="n">
        <f aca="false">G12*Inputs!$C$36</f>
        <v>266.147468334</v>
      </c>
      <c r="H59" s="21" t="n">
        <f aca="false">H12*Inputs!$C$36</f>
        <v>268.5178551528</v>
      </c>
      <c r="I59" s="21" t="n">
        <f aca="false">I12*Inputs!$C$36</f>
        <v>273.597124391316</v>
      </c>
    </row>
    <row r="60" customFormat="false" ht="15" hidden="false" customHeight="false" outlineLevel="0" collapsed="false">
      <c r="B60" s="15" t="s">
        <v>232</v>
      </c>
      <c r="C60" s="13" t="s">
        <v>128</v>
      </c>
      <c r="E60" s="30" t="n">
        <f aca="false">E58-E59</f>
        <v>1584.30294226</v>
      </c>
      <c r="F60" s="30" t="n">
        <f aca="false">F58-F59</f>
        <v>1469.31851815778</v>
      </c>
      <c r="G60" s="30" t="n">
        <f aca="false">G58-G59</f>
        <v>1367.08750500245</v>
      </c>
      <c r="H60" s="30" t="n">
        <f aca="false">H58-H59</f>
        <v>1360.12195885253</v>
      </c>
      <c r="I60" s="30" t="n">
        <f aca="false">I58-I59</f>
        <v>1389.72526636221</v>
      </c>
    </row>
    <row r="61" customFormat="false" ht="15" hidden="false" customHeight="false" outlineLevel="0" collapsed="false">
      <c r="B61" s="13" t="s">
        <v>233</v>
      </c>
      <c r="C61" s="13" t="s">
        <v>128</v>
      </c>
      <c r="D61" s="21" t="n">
        <f aca="false">-Historicals!$E$93</f>
        <v>326.1</v>
      </c>
      <c r="E61" s="21" t="n">
        <f aca="false">E68*D70</f>
        <v>368.8746043</v>
      </c>
      <c r="F61" s="21" t="n">
        <f aca="false">F68*E70</f>
        <v>381.071617351774</v>
      </c>
      <c r="G61" s="21" t="n">
        <f aca="false">G68*F70</f>
        <v>399.129692931335</v>
      </c>
      <c r="H61" s="21" t="n">
        <f aca="false">H68*G70</f>
        <v>421.132802222364</v>
      </c>
      <c r="I61" s="21" t="n">
        <f aca="false">I68*H70</f>
        <v>445.889113834376</v>
      </c>
    </row>
    <row r="62" customFormat="false" ht="15" hidden="false" customHeight="false" outlineLevel="0" collapsed="false">
      <c r="B62" s="13" t="s">
        <v>234</v>
      </c>
      <c r="C62" s="13" t="s">
        <v>128</v>
      </c>
      <c r="D62" s="21" t="n">
        <f aca="false">-Historicals!$E$94</f>
        <v>1554.6</v>
      </c>
      <c r="E62" s="21" t="n">
        <f aca="false">Inputs!$C$44</f>
        <v>1350</v>
      </c>
      <c r="F62" s="21" t="n">
        <f aca="false">MAX(0,F60-F61)</f>
        <v>1088.246900806</v>
      </c>
      <c r="G62" s="21" t="n">
        <f aca="false">MAX(0,G60-G61)</f>
        <v>967.957812071113</v>
      </c>
      <c r="H62" s="21" t="n">
        <f aca="false">MAX(0,H60-H61)</f>
        <v>938.989156630161</v>
      </c>
      <c r="I62" s="21" t="n">
        <f aca="false">MAX(0,I60-I61)</f>
        <v>943.836152527837</v>
      </c>
    </row>
    <row r="63" customFormat="false" ht="15" hidden="false" customHeight="false" outlineLevel="0" collapsed="false">
      <c r="B63" s="13" t="s">
        <v>235</v>
      </c>
      <c r="C63" s="13" t="s">
        <v>128</v>
      </c>
      <c r="E63" s="21" t="n">
        <f aca="false">E60-E61-E62</f>
        <v>-134.57166204</v>
      </c>
      <c r="F63" s="21" t="n">
        <f aca="false">F60-F61-F62</f>
        <v>0</v>
      </c>
      <c r="G63" s="21" t="n">
        <f aca="false">G60-G61-G62</f>
        <v>0</v>
      </c>
      <c r="H63" s="21" t="n">
        <f aca="false">H60-H61-H62</f>
        <v>0</v>
      </c>
      <c r="I63" s="21" t="n">
        <f aca="false">I60-I61-I62</f>
        <v>0</v>
      </c>
    </row>
    <row r="64" customFormat="false" ht="15" hidden="false" customHeight="false" outlineLevel="0" collapsed="false">
      <c r="B64" s="18" t="s">
        <v>236</v>
      </c>
      <c r="C64" s="22" t="s">
        <v>128</v>
      </c>
      <c r="D64" s="24"/>
      <c r="E64" s="32" t="n">
        <f aca="false">D33+E63</f>
        <v>840.12833796</v>
      </c>
      <c r="F64" s="32" t="n">
        <f aca="false">E33+F63</f>
        <v>840.12833796</v>
      </c>
      <c r="G64" s="32" t="n">
        <f aca="false">F33+G63</f>
        <v>840.12833796</v>
      </c>
      <c r="H64" s="32" t="n">
        <f aca="false">G33+H63</f>
        <v>840.12833796</v>
      </c>
      <c r="I64" s="32" t="n">
        <f aca="false">H33+I63</f>
        <v>840.12833796</v>
      </c>
      <c r="J64" s="24"/>
    </row>
    <row r="66" customFormat="false" ht="15" hidden="false" customHeight="false" outlineLevel="0" collapsed="false">
      <c r="B66" s="11" t="s">
        <v>237</v>
      </c>
      <c r="C66" s="12"/>
      <c r="D66" s="12"/>
      <c r="E66" s="12"/>
      <c r="F66" s="12"/>
      <c r="G66" s="12"/>
      <c r="H66" s="12"/>
      <c r="I66" s="12"/>
      <c r="J66" s="12"/>
    </row>
    <row r="67" customFormat="false" ht="15" hidden="false" customHeight="false" outlineLevel="0" collapsed="false">
      <c r="B67" s="3" t="s">
        <v>184</v>
      </c>
      <c r="C67" s="3" t="s">
        <v>104</v>
      </c>
      <c r="D67" s="3" t="s">
        <v>185</v>
      </c>
      <c r="E67" s="3" t="s">
        <v>99</v>
      </c>
      <c r="F67" s="3" t="s">
        <v>100</v>
      </c>
      <c r="G67" s="3" t="s">
        <v>101</v>
      </c>
      <c r="H67" s="3" t="s">
        <v>102</v>
      </c>
      <c r="I67" s="3" t="s">
        <v>103</v>
      </c>
      <c r="J67" s="3" t="s">
        <v>69</v>
      </c>
    </row>
    <row r="68" customFormat="false" ht="15" hidden="false" customHeight="false" outlineLevel="0" collapsed="false">
      <c r="B68" s="13" t="s">
        <v>238</v>
      </c>
      <c r="C68" s="13" t="s">
        <v>142</v>
      </c>
      <c r="D68" s="14" t="n">
        <v>1.6</v>
      </c>
      <c r="E68" s="14" t="n">
        <f aca="false">Inputs!$C$42</f>
        <v>1.85</v>
      </c>
      <c r="F68" s="14" t="n">
        <f aca="false">E68*(1+Inputs!$C$43)</f>
        <v>1.998</v>
      </c>
      <c r="G68" s="14" t="n">
        <f aca="false">F68*(1+Inputs!$C$43)</f>
        <v>2.15784</v>
      </c>
      <c r="H68" s="14" t="n">
        <f aca="false">G68*(1+Inputs!$C$43)</f>
        <v>2.3304672</v>
      </c>
      <c r="I68" s="14" t="n">
        <f aca="false">H68*(1+Inputs!$C$43)</f>
        <v>2.516904576</v>
      </c>
    </row>
    <row r="69" customFormat="false" ht="15" hidden="false" customHeight="false" outlineLevel="0" collapsed="false">
      <c r="B69" s="13" t="s">
        <v>239</v>
      </c>
      <c r="C69" s="13" t="s">
        <v>142</v>
      </c>
      <c r="E69" s="14" t="n">
        <f aca="false">Inputs!$C$53</f>
        <v>115.82</v>
      </c>
      <c r="F69" s="14" t="n">
        <f aca="false">E69*(1+Inputs!$C$46)</f>
        <v>126.2438</v>
      </c>
      <c r="G69" s="14" t="n">
        <f aca="false">F69*(1+Inputs!$C$46)</f>
        <v>137.605742</v>
      </c>
      <c r="H69" s="14" t="n">
        <f aca="false">G69*(1+Inputs!$C$46)</f>
        <v>149.99025878</v>
      </c>
      <c r="I69" s="14" t="n">
        <f aca="false">H69*(1+Inputs!$C$46)</f>
        <v>163.4893820702</v>
      </c>
    </row>
    <row r="70" customFormat="false" ht="15" hidden="false" customHeight="false" outlineLevel="0" collapsed="false">
      <c r="B70" s="22" t="s">
        <v>240</v>
      </c>
      <c r="C70" s="22" t="s">
        <v>167</v>
      </c>
      <c r="D70" s="33" t="n">
        <f aca="false">Historicals!$C$105</f>
        <v>199.391678</v>
      </c>
      <c r="E70" s="33" t="n">
        <f aca="false">D70*(1+Inputs!$C$47)-E62/E69</f>
        <v>190.726535211098</v>
      </c>
      <c r="F70" s="33" t="n">
        <f aca="false">E70*(1+Inputs!$C$47)-F62/F69</f>
        <v>184.967232478467</v>
      </c>
      <c r="G70" s="33" t="n">
        <f aca="false">F70*(1+Inputs!$C$47)-G62/G69</f>
        <v>180.707457381234</v>
      </c>
      <c r="H70" s="33" t="n">
        <f aca="false">G70*(1+Inputs!$C$47)-H62/H69</f>
        <v>177.157734975796</v>
      </c>
      <c r="I70" s="33" t="n">
        <f aca="false">H70*(1+Inputs!$C$47)-I62/I69</f>
        <v>174.042027908001</v>
      </c>
      <c r="J70" s="7" t="s">
        <v>241</v>
      </c>
    </row>
    <row r="72" customFormat="false" ht="15" hidden="false" customHeight="false" outlineLevel="0" collapsed="false">
      <c r="B72" s="11" t="s">
        <v>242</v>
      </c>
      <c r="C72" s="12"/>
      <c r="D72" s="12"/>
      <c r="E72" s="12"/>
      <c r="F72" s="12"/>
      <c r="G72" s="12"/>
      <c r="H72" s="12"/>
      <c r="I72" s="12"/>
      <c r="J72" s="12"/>
    </row>
    <row r="73" customFormat="false" ht="15" hidden="false" customHeight="false" outlineLevel="0" collapsed="false">
      <c r="B73" s="10" t="s">
        <v>243</v>
      </c>
    </row>
    <row r="74" customFormat="false" ht="15" hidden="false" customHeight="false" outlineLevel="0" collapsed="false">
      <c r="B74" s="3" t="s">
        <v>184</v>
      </c>
      <c r="C74" s="3" t="s">
        <v>104</v>
      </c>
      <c r="D74" s="3" t="s">
        <v>185</v>
      </c>
      <c r="E74" s="3" t="s">
        <v>99</v>
      </c>
      <c r="F74" s="3" t="s">
        <v>100</v>
      </c>
      <c r="G74" s="3" t="s">
        <v>101</v>
      </c>
      <c r="H74" s="3" t="s">
        <v>102</v>
      </c>
      <c r="I74" s="3" t="s">
        <v>103</v>
      </c>
      <c r="J74" s="3" t="s">
        <v>69</v>
      </c>
    </row>
    <row r="75" customFormat="false" ht="15" hidden="false" customHeight="false" outlineLevel="0" collapsed="false">
      <c r="B75" s="13" t="s">
        <v>195</v>
      </c>
      <c r="C75" s="13" t="s">
        <v>128</v>
      </c>
      <c r="E75" s="21" t="n">
        <f aca="false">E19</f>
        <v>1949.79312</v>
      </c>
      <c r="F75" s="21" t="n">
        <f aca="false">F19</f>
        <v>1812.568428</v>
      </c>
      <c r="G75" s="21" t="n">
        <f aca="false">G19</f>
        <v>1693.66570758</v>
      </c>
      <c r="H75" s="21" t="n">
        <f aca="false">H19</f>
        <v>1668.065463828</v>
      </c>
      <c r="I75" s="21" t="n">
        <f aca="false">I19</f>
        <v>1699.61850000666</v>
      </c>
    </row>
    <row r="76" customFormat="false" ht="15" hidden="false" customHeight="false" outlineLevel="0" collapsed="false">
      <c r="B76" s="13" t="s">
        <v>244</v>
      </c>
      <c r="C76" s="13" t="s">
        <v>128</v>
      </c>
      <c r="E76" s="21" t="n">
        <f aca="false">-E19*Inputs!$C$33</f>
        <v>-354.86234784</v>
      </c>
      <c r="F76" s="21" t="n">
        <f aca="false">-F19*Inputs!$C$33</f>
        <v>-329.887453896</v>
      </c>
      <c r="G76" s="21" t="n">
        <f aca="false">-G19*Inputs!$C$33</f>
        <v>-308.24715877956</v>
      </c>
      <c r="H76" s="21" t="n">
        <f aca="false">-H19*Inputs!$C$33</f>
        <v>-303.587914416696</v>
      </c>
      <c r="I76" s="21" t="n">
        <f aca="false">-I19*Inputs!$C$33</f>
        <v>-309.330567001212</v>
      </c>
    </row>
    <row r="77" customFormat="false" ht="15" hidden="false" customHeight="false" outlineLevel="0" collapsed="false">
      <c r="B77" s="13" t="s">
        <v>245</v>
      </c>
      <c r="C77" s="13" t="s">
        <v>128</v>
      </c>
      <c r="E77" s="21" t="n">
        <f aca="false">E55</f>
        <v>224.018784</v>
      </c>
      <c r="F77" s="21" t="n">
        <f aca="false">F55</f>
        <v>222.4515798</v>
      </c>
      <c r="G77" s="21" t="n">
        <f aca="false">G55</f>
        <v>217.757019546</v>
      </c>
      <c r="H77" s="21" t="n">
        <f aca="false">H55</f>
        <v>219.6964269432</v>
      </c>
      <c r="I77" s="21" t="n">
        <f aca="false">I55</f>
        <v>223.852192683804</v>
      </c>
    </row>
    <row r="78" customFormat="false" ht="15" hidden="false" customHeight="false" outlineLevel="0" collapsed="false">
      <c r="B78" s="13" t="s">
        <v>231</v>
      </c>
      <c r="C78" s="13" t="s">
        <v>128</v>
      </c>
      <c r="E78" s="21" t="n">
        <f aca="false">-E59</f>
        <v>-300</v>
      </c>
      <c r="F78" s="21" t="n">
        <f aca="false">-F59</f>
        <v>-271.8852642</v>
      </c>
      <c r="G78" s="21" t="n">
        <f aca="false">-G59</f>
        <v>-266.147468334</v>
      </c>
      <c r="H78" s="21" t="n">
        <f aca="false">-H59</f>
        <v>-268.5178551528</v>
      </c>
      <c r="I78" s="21" t="n">
        <f aca="false">-I59</f>
        <v>-273.597124391316</v>
      </c>
    </row>
    <row r="79" customFormat="false" ht="15" hidden="false" customHeight="false" outlineLevel="0" collapsed="false">
      <c r="B79" s="13" t="s">
        <v>229</v>
      </c>
      <c r="C79" s="13" t="s">
        <v>128</v>
      </c>
      <c r="E79" s="21" t="n">
        <f aca="false">E57</f>
        <v>9.85712640000017</v>
      </c>
      <c r="F79" s="21" t="n">
        <f aca="false">F57</f>
        <v>-7.36865670328766</v>
      </c>
      <c r="G79" s="21" t="n">
        <f aca="false">G57</f>
        <v>-11.1027490808548</v>
      </c>
      <c r="H79" s="21" t="n">
        <f aca="false">H57</f>
        <v>2.36271184279889</v>
      </c>
      <c r="I79" s="21" t="n">
        <f aca="false">I57</f>
        <v>5.06282328581338</v>
      </c>
    </row>
    <row r="80" customFormat="false" ht="15" hidden="false" customHeight="false" outlineLevel="0" collapsed="false">
      <c r="B80" s="15" t="s">
        <v>246</v>
      </c>
      <c r="C80" s="13" t="s">
        <v>128</v>
      </c>
      <c r="E80" s="30" t="n">
        <f aca="false">SUM(E75:E79)</f>
        <v>1528.80668256</v>
      </c>
      <c r="F80" s="30" t="n">
        <f aca="false">SUM(F75:F79)</f>
        <v>1425.87863300071</v>
      </c>
      <c r="G80" s="30" t="n">
        <f aca="false">SUM(G75:G79)</f>
        <v>1325.92535093159</v>
      </c>
      <c r="H80" s="30" t="n">
        <f aca="false">SUM(H75:H79)</f>
        <v>1318.0188330445</v>
      </c>
      <c r="I80" s="30" t="n">
        <f aca="false">SUM(I75:I79)</f>
        <v>1345.60582458375</v>
      </c>
    </row>
    <row r="81" customFormat="false" ht="15" hidden="false" customHeight="false" outlineLevel="0" collapsed="false">
      <c r="B81" s="13" t="s">
        <v>247</v>
      </c>
      <c r="C81" s="13" t="s">
        <v>174</v>
      </c>
      <c r="E81" s="34" t="n">
        <f aca="false">WACC!$C$28</f>
        <v>0.734246575342466</v>
      </c>
      <c r="F81" s="34" t="n">
        <f aca="false">1</f>
        <v>1</v>
      </c>
      <c r="G81" s="34" t="n">
        <f aca="false">1</f>
        <v>1</v>
      </c>
      <c r="H81" s="34" t="n">
        <f aca="false">1</f>
        <v>1</v>
      </c>
      <c r="I81" s="34" t="n">
        <f aca="false">1</f>
        <v>1</v>
      </c>
    </row>
    <row r="82" customFormat="false" ht="15" hidden="false" customHeight="false" outlineLevel="0" collapsed="false">
      <c r="B82" s="13" t="s">
        <v>248</v>
      </c>
      <c r="C82" s="13" t="s">
        <v>128</v>
      </c>
      <c r="E82" s="21" t="n">
        <f aca="false">E80*E81</f>
        <v>1122.52107103036</v>
      </c>
      <c r="F82" s="21" t="n">
        <f aca="false">F80*F81</f>
        <v>1425.87863300071</v>
      </c>
      <c r="G82" s="21" t="n">
        <f aca="false">G80*G81</f>
        <v>1325.92535093159</v>
      </c>
      <c r="H82" s="21" t="n">
        <f aca="false">H80*H81</f>
        <v>1318.0188330445</v>
      </c>
      <c r="I82" s="21" t="n">
        <f aca="false">I80*I81</f>
        <v>1345.60582458375</v>
      </c>
    </row>
    <row r="83" customFormat="false" ht="15" hidden="false" customHeight="false" outlineLevel="0" collapsed="false">
      <c r="B83" s="13" t="s">
        <v>249</v>
      </c>
      <c r="C83" s="13" t="s">
        <v>250</v>
      </c>
      <c r="E83" s="34" t="n">
        <f aca="false">WACC!$C$28/2</f>
        <v>0.367123287671233</v>
      </c>
      <c r="F83" s="34" t="n">
        <f aca="false">WACC!$C$28+1-0.5</f>
        <v>1.23424657534247</v>
      </c>
      <c r="G83" s="34" t="n">
        <f aca="false">WACC!$C$28+2-0.5</f>
        <v>2.23424657534247</v>
      </c>
      <c r="H83" s="34" t="n">
        <f aca="false">WACC!$C$28+3-0.5</f>
        <v>3.23424657534247</v>
      </c>
      <c r="I83" s="34" t="n">
        <f aca="false">WACC!$C$28+4-0.5</f>
        <v>4.23424657534247</v>
      </c>
    </row>
    <row r="84" customFormat="false" ht="15" hidden="false" customHeight="false" outlineLevel="0" collapsed="false">
      <c r="B84" s="13" t="s">
        <v>251</v>
      </c>
      <c r="C84" s="13" t="s">
        <v>174</v>
      </c>
      <c r="E84" s="35" t="n">
        <f aca="false">1/(1+WACC!$C$27)^E83</f>
        <v>0.963266299229137</v>
      </c>
      <c r="F84" s="35" t="n">
        <f aca="false">1/(1+WACC!$C$27)^F83</f>
        <v>0.881771898544091</v>
      </c>
      <c r="G84" s="35" t="n">
        <f aca="false">1/(1+WACC!$C$27)^G83</f>
        <v>0.796312066679301</v>
      </c>
      <c r="H84" s="35" t="n">
        <f aca="false">1/(1+WACC!$C$27)^H83</f>
        <v>0.719134856288859</v>
      </c>
      <c r="I84" s="35" t="n">
        <f aca="false">1/(1+WACC!$C$27)^I83</f>
        <v>0.649437529794299</v>
      </c>
    </row>
    <row r="85" customFormat="false" ht="15" hidden="false" customHeight="false" outlineLevel="0" collapsed="false">
      <c r="B85" s="22" t="s">
        <v>252</v>
      </c>
      <c r="C85" s="22" t="s">
        <v>128</v>
      </c>
      <c r="D85" s="24"/>
      <c r="E85" s="31" t="n">
        <f aca="false">E82*E84</f>
        <v>1081.28671789814</v>
      </c>
      <c r="F85" s="31" t="n">
        <f aca="false">F82*F84</f>
        <v>1257.29970931449</v>
      </c>
      <c r="G85" s="31" t="n">
        <f aca="false">G82*G84</f>
        <v>1055.85035646281</v>
      </c>
      <c r="H85" s="31" t="n">
        <f aca="false">H82*H84</f>
        <v>947.833284087468</v>
      </c>
      <c r="I85" s="31" t="n">
        <f aca="false">I82*I84</f>
        <v>873.88692279449</v>
      </c>
      <c r="J85" s="24"/>
    </row>
    <row r="87" customFormat="false" ht="15" hidden="false" customHeight="false" outlineLevel="0" collapsed="false">
      <c r="B87" s="11" t="s">
        <v>253</v>
      </c>
      <c r="C87" s="12"/>
      <c r="D87" s="12"/>
      <c r="E87" s="12"/>
      <c r="F87" s="12"/>
      <c r="G87" s="12"/>
      <c r="H87" s="12"/>
      <c r="I87" s="12"/>
      <c r="J87" s="12"/>
    </row>
    <row r="88" customFormat="false" ht="15" hidden="false" customHeight="false" outlineLevel="0" collapsed="false">
      <c r="B88" s="3" t="s">
        <v>39</v>
      </c>
      <c r="C88" s="3" t="s">
        <v>104</v>
      </c>
      <c r="D88" s="3" t="s">
        <v>40</v>
      </c>
      <c r="E88" s="3"/>
      <c r="F88" s="3"/>
      <c r="G88" s="3"/>
      <c r="H88" s="3"/>
      <c r="I88" s="3"/>
      <c r="J88" s="3" t="s">
        <v>69</v>
      </c>
    </row>
    <row r="89" customFormat="false" ht="15" hidden="false" customHeight="false" outlineLevel="0" collapsed="false">
      <c r="B89" s="13" t="s">
        <v>254</v>
      </c>
      <c r="C89" s="13" t="s">
        <v>128</v>
      </c>
      <c r="D89" s="21" t="n">
        <f aca="false">SUM(E85:I85)</f>
        <v>5216.15699055739</v>
      </c>
    </row>
    <row r="90" customFormat="false" ht="15" hidden="false" customHeight="false" outlineLevel="0" collapsed="false">
      <c r="B90" s="13" t="s">
        <v>255</v>
      </c>
      <c r="C90" s="13" t="s">
        <v>128</v>
      </c>
      <c r="D90" s="21" t="n">
        <f aca="false">I80*(1+Inputs!$C$49)/(WACC!$C$27-Inputs!$C$49)</f>
        <v>17925.2785011022</v>
      </c>
      <c r="J90" s="5" t="s">
        <v>256</v>
      </c>
    </row>
    <row r="91" customFormat="false" ht="15" hidden="false" customHeight="false" outlineLevel="0" collapsed="false">
      <c r="B91" s="13" t="s">
        <v>257</v>
      </c>
      <c r="C91" s="13" t="s">
        <v>128</v>
      </c>
      <c r="D91" s="21" t="n">
        <f aca="false">D90/(1+WACC!$C$27)^(WACC!$C$28+4)</f>
        <v>11062.8446883851</v>
      </c>
    </row>
    <row r="92" customFormat="false" ht="15" hidden="false" customHeight="false" outlineLevel="0" collapsed="false">
      <c r="B92" s="15" t="s">
        <v>258</v>
      </c>
      <c r="C92" s="13" t="s">
        <v>128</v>
      </c>
      <c r="D92" s="30" t="n">
        <f aca="false">D89+D91</f>
        <v>16279.0016789425</v>
      </c>
    </row>
    <row r="93" customFormat="false" ht="15" hidden="false" customHeight="false" outlineLevel="0" collapsed="false">
      <c r="B93" s="13" t="s">
        <v>259</v>
      </c>
      <c r="C93" s="13" t="s">
        <v>128</v>
      </c>
      <c r="D93" s="21" t="n">
        <f aca="false">-Historicals!$E$79</f>
        <v>-2379</v>
      </c>
      <c r="J93" s="5" t="s">
        <v>260</v>
      </c>
    </row>
    <row r="94" customFormat="false" ht="15" hidden="false" customHeight="false" outlineLevel="0" collapsed="false">
      <c r="B94" s="13" t="s">
        <v>261</v>
      </c>
      <c r="C94" s="13" t="s">
        <v>128</v>
      </c>
      <c r="D94" s="21" t="n">
        <f aca="false">Historicals!$E$64+Historicals!$E$65</f>
        <v>1152</v>
      </c>
      <c r="J94" s="5" t="s">
        <v>260</v>
      </c>
    </row>
    <row r="95" customFormat="false" ht="15" hidden="false" customHeight="false" outlineLevel="0" collapsed="false">
      <c r="B95" s="15" t="s">
        <v>262</v>
      </c>
      <c r="C95" s="13" t="s">
        <v>128</v>
      </c>
      <c r="D95" s="30" t="n">
        <f aca="false">SUM(D92:D94)</f>
        <v>15052.0016789425</v>
      </c>
    </row>
    <row r="96" customFormat="false" ht="15" hidden="false" customHeight="false" outlineLevel="0" collapsed="false">
      <c r="B96" s="13" t="s">
        <v>263</v>
      </c>
      <c r="C96" s="13" t="s">
        <v>167</v>
      </c>
      <c r="D96" s="26" t="n">
        <f aca="false">Inputs!$C$56+Inputs!$C$57</f>
        <v>205.591678</v>
      </c>
    </row>
    <row r="97" customFormat="false" ht="15" hidden="false" customHeight="false" outlineLevel="0" collapsed="false">
      <c r="B97" s="15" t="s">
        <v>51</v>
      </c>
      <c r="C97" s="13" t="s">
        <v>142</v>
      </c>
      <c r="D97" s="16" t="n">
        <f aca="false">D95/D96</f>
        <v>73.2130883184023</v>
      </c>
    </row>
    <row r="98" customFormat="false" ht="15" hidden="false" customHeight="false" outlineLevel="0" collapsed="false">
      <c r="B98" s="13" t="s">
        <v>264</v>
      </c>
      <c r="C98" s="13" t="s">
        <v>106</v>
      </c>
      <c r="D98" s="17" t="n">
        <f aca="false">D97/Inputs!$C$53-1</f>
        <v>-0.367871798321513</v>
      </c>
    </row>
    <row r="99" customFormat="false" ht="15" hidden="false" customHeight="false" outlineLevel="0" collapsed="false">
      <c r="B99" s="13" t="s">
        <v>265</v>
      </c>
      <c r="C99" s="13" t="s">
        <v>106</v>
      </c>
      <c r="D99" s="17" t="n">
        <f aca="false">D91/D92</f>
        <v>0.679577587530771</v>
      </c>
    </row>
    <row r="100" customFormat="false" ht="15" hidden="false" customHeight="false" outlineLevel="0" collapsed="false">
      <c r="B100" s="22" t="s">
        <v>266</v>
      </c>
      <c r="C100" s="22" t="s">
        <v>174</v>
      </c>
      <c r="D100" s="36" t="n">
        <f aca="false">D90/(I19+I55)</f>
        <v>9.3192366118296</v>
      </c>
      <c r="E100" s="24"/>
      <c r="F100" s="24"/>
      <c r="G100" s="24"/>
      <c r="H100" s="24"/>
      <c r="I100" s="24"/>
      <c r="J100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9" min="4" style="0" width="13"/>
    <col collapsed="false" customWidth="true" hidden="false" outlineLevel="0" max="10" min="10" style="0" width="50"/>
  </cols>
  <sheetData>
    <row r="2" customFormat="false" ht="15" hidden="false" customHeight="false" outlineLevel="0" collapsed="false">
      <c r="B2" s="8" t="s">
        <v>270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B3" s="10" t="s">
        <v>181</v>
      </c>
    </row>
    <row r="5" customFormat="false" ht="15" hidden="false" customHeight="false" outlineLevel="0" collapsed="false">
      <c r="B5" s="11" t="s">
        <v>182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B6" s="10" t="s">
        <v>183</v>
      </c>
    </row>
    <row r="7" customFormat="false" ht="15" hidden="false" customHeight="false" outlineLevel="0" collapsed="false">
      <c r="B7" s="3" t="s">
        <v>184</v>
      </c>
      <c r="C7" s="3" t="s">
        <v>104</v>
      </c>
      <c r="D7" s="3" t="s">
        <v>185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69</v>
      </c>
    </row>
    <row r="8" customFormat="false" ht="15" hidden="false" customHeight="false" outlineLevel="0" collapsed="false">
      <c r="B8" s="13" t="s">
        <v>186</v>
      </c>
      <c r="C8" s="13" t="s">
        <v>128</v>
      </c>
      <c r="D8" s="21" t="n">
        <f aca="false">Historicals!$E$38</f>
        <v>6914.7</v>
      </c>
      <c r="E8" s="21" t="n">
        <f aca="false">D8*(1+Inputs!$C$11)</f>
        <v>7460.9613</v>
      </c>
      <c r="F8" s="21" t="n">
        <f aca="false">E8*(1+Inputs!$D$11)</f>
        <v>8050.3772427</v>
      </c>
      <c r="G8" s="21" t="n">
        <f aca="false">F8*(1+Inputs!$E$11)</f>
        <v>8686.3570448733</v>
      </c>
      <c r="H8" s="21" t="n">
        <f aca="false">G8*(1+Inputs!$F$11)</f>
        <v>9372.57925141829</v>
      </c>
      <c r="I8" s="21" t="n">
        <f aca="false">H8*(1+Inputs!$G$11)</f>
        <v>10113.0130122803</v>
      </c>
    </row>
    <row r="9" customFormat="false" ht="15" hidden="false" customHeight="false" outlineLevel="0" collapsed="false">
      <c r="B9" s="13" t="s">
        <v>187</v>
      </c>
      <c r="C9" s="13" t="s">
        <v>106</v>
      </c>
      <c r="D9" s="17" t="n">
        <f aca="false">Historicals!$E$38/Historicals!$D$38-1</f>
        <v>0.235098687148343</v>
      </c>
      <c r="E9" s="17" t="n">
        <f aca="false">E8/D8-1</f>
        <v>0.079</v>
      </c>
      <c r="F9" s="17" t="n">
        <f aca="false">F8/E8-1</f>
        <v>0.079</v>
      </c>
      <c r="G9" s="17" t="n">
        <f aca="false">G8/F8-1</f>
        <v>0.079</v>
      </c>
      <c r="H9" s="17" t="n">
        <f aca="false">H8/G8-1</f>
        <v>0.079</v>
      </c>
      <c r="I9" s="17" t="n">
        <f aca="false">I8/H8-1</f>
        <v>0.079</v>
      </c>
    </row>
    <row r="10" customFormat="false" ht="15" hidden="false" customHeight="false" outlineLevel="0" collapsed="false">
      <c r="B10" s="13" t="s">
        <v>188</v>
      </c>
      <c r="C10" s="13" t="s">
        <v>128</v>
      </c>
      <c r="D10" s="21" t="n">
        <f aca="false">Historicals!$E$39</f>
        <v>1074.9</v>
      </c>
      <c r="E10" s="21" t="n">
        <f aca="false">D10*(1+Inputs!$C$17)</f>
        <v>988.908</v>
      </c>
      <c r="F10" s="21" t="n">
        <f aca="false">E10*(1+Inputs!$D$17)</f>
        <v>959.24076</v>
      </c>
      <c r="G10" s="21" t="n">
        <f aca="false">F10*(1+Inputs!$E$17)</f>
        <v>959.24076</v>
      </c>
      <c r="H10" s="21" t="n">
        <f aca="false">G10*(1+Inputs!$F$17)</f>
        <v>968.8331676</v>
      </c>
      <c r="I10" s="21" t="n">
        <f aca="false">H10*(1+Inputs!$G$17)</f>
        <v>988.209830952</v>
      </c>
    </row>
    <row r="11" customFormat="false" ht="15" hidden="false" customHeight="false" outlineLevel="0" collapsed="false">
      <c r="B11" s="13" t="s">
        <v>187</v>
      </c>
      <c r="C11" s="13" t="s">
        <v>106</v>
      </c>
      <c r="D11" s="17" t="n">
        <f aca="false">Historicals!$E$39/Historicals!$D$39-1</f>
        <v>-0.102080026731267</v>
      </c>
      <c r="E11" s="17" t="n">
        <f aca="false">E10/D10-1</f>
        <v>-0.08</v>
      </c>
      <c r="F11" s="17" t="n">
        <f aca="false">F10/E10-1</f>
        <v>-0.03</v>
      </c>
      <c r="G11" s="17" t="n">
        <f aca="false">G10/F10-1</f>
        <v>0</v>
      </c>
      <c r="H11" s="17" t="n">
        <f aca="false">H10/G10-1</f>
        <v>0.01</v>
      </c>
      <c r="I11" s="17" t="n">
        <f aca="false">I10/H10-1</f>
        <v>0.02</v>
      </c>
    </row>
    <row r="12" customFormat="false" ht="15" hidden="false" customHeight="false" outlineLevel="0" collapsed="false">
      <c r="B12" s="15" t="s">
        <v>189</v>
      </c>
      <c r="C12" s="13" t="s">
        <v>128</v>
      </c>
      <c r="D12" s="30" t="n">
        <f aca="false">D8+D10</f>
        <v>7989.6</v>
      </c>
      <c r="E12" s="30" t="n">
        <f aca="false">E8+E10</f>
        <v>8449.8693</v>
      </c>
      <c r="F12" s="30" t="n">
        <f aca="false">F8+F10</f>
        <v>9009.6180027</v>
      </c>
      <c r="G12" s="30" t="n">
        <f aca="false">G8+G10</f>
        <v>9645.5978048733</v>
      </c>
      <c r="H12" s="30" t="n">
        <f aca="false">H8+H10</f>
        <v>10341.4124190183</v>
      </c>
      <c r="I12" s="30" t="n">
        <f aca="false">I8+I10</f>
        <v>11101.2228432323</v>
      </c>
    </row>
    <row r="13" customFormat="false" ht="15" hidden="false" customHeight="false" outlineLevel="0" collapsed="false">
      <c r="B13" s="13" t="s">
        <v>187</v>
      </c>
      <c r="C13" s="13" t="s">
        <v>106</v>
      </c>
      <c r="E13" s="17" t="n">
        <f aca="false">E12/D12-1</f>
        <v>0.0576085536197055</v>
      </c>
      <c r="F13" s="17" t="n">
        <f aca="false">F12/E12-1</f>
        <v>0.0662434746416727</v>
      </c>
      <c r="G13" s="17" t="n">
        <f aca="false">G12/F12-1</f>
        <v>0.0705889863457818</v>
      </c>
      <c r="H13" s="17" t="n">
        <f aca="false">H12/G12-1</f>
        <v>0.0721380497322248</v>
      </c>
      <c r="I13" s="17" t="n">
        <f aca="false">I12/H12-1</f>
        <v>0.0734725967235117</v>
      </c>
    </row>
    <row r="14" customFormat="false" ht="15" hidden="false" customHeight="false" outlineLevel="0" collapsed="false">
      <c r="B14" s="13" t="s">
        <v>190</v>
      </c>
      <c r="C14" s="13" t="s">
        <v>128</v>
      </c>
      <c r="D14" s="21" t="n">
        <f aca="false">D12-D15</f>
        <v>1866.5</v>
      </c>
      <c r="E14" s="21" t="n">
        <f aca="false">E12-E15</f>
        <v>1960.3696776</v>
      </c>
      <c r="F14" s="21" t="n">
        <f aca="false">F12-F15</f>
        <v>2072.212140621</v>
      </c>
      <c r="G14" s="21" t="n">
        <f aca="false">G12-G15</f>
        <v>2208.84189731599</v>
      </c>
      <c r="H14" s="21" t="n">
        <f aca="false">H12-H15</f>
        <v>2357.84203153617</v>
      </c>
      <c r="I14" s="21" t="n">
        <f aca="false">I12-I15</f>
        <v>2531.07880825697</v>
      </c>
    </row>
    <row r="15" customFormat="false" ht="15" hidden="false" customHeight="false" outlineLevel="0" collapsed="false">
      <c r="B15" s="15" t="s">
        <v>191</v>
      </c>
      <c r="C15" s="13" t="s">
        <v>128</v>
      </c>
      <c r="D15" s="30" t="n">
        <f aca="false">Historicals!$E$27</f>
        <v>6123.1</v>
      </c>
      <c r="E15" s="30" t="n">
        <f aca="false">E12*Inputs!$C$23</f>
        <v>6489.4996224</v>
      </c>
      <c r="F15" s="30" t="n">
        <f aca="false">F12*Inputs!$D$23</f>
        <v>6937.405862079</v>
      </c>
      <c r="G15" s="30" t="n">
        <f aca="false">G12*Inputs!$E$23</f>
        <v>7436.75590755731</v>
      </c>
      <c r="H15" s="30" t="n">
        <f aca="false">H12*Inputs!$F$23</f>
        <v>7983.57038748212</v>
      </c>
      <c r="I15" s="30" t="n">
        <f aca="false">I12*Inputs!$G$23</f>
        <v>8570.14403497536</v>
      </c>
    </row>
    <row r="16" customFormat="false" ht="15" hidden="false" customHeight="false" outlineLevel="0" collapsed="false">
      <c r="B16" s="13" t="s">
        <v>192</v>
      </c>
      <c r="C16" s="13" t="s">
        <v>106</v>
      </c>
      <c r="D16" s="17" t="n">
        <f aca="false">D15/D12</f>
        <v>0.76638379893862</v>
      </c>
      <c r="E16" s="17" t="n">
        <f aca="false">E15/E12</f>
        <v>0.768</v>
      </c>
      <c r="F16" s="17" t="n">
        <f aca="false">F15/F12</f>
        <v>0.77</v>
      </c>
      <c r="G16" s="17" t="n">
        <f aca="false">G15/G12</f>
        <v>0.771</v>
      </c>
      <c r="H16" s="17" t="n">
        <f aca="false">H15/H12</f>
        <v>0.772</v>
      </c>
      <c r="I16" s="17" t="n">
        <f aca="false">I15/I12</f>
        <v>0.772</v>
      </c>
    </row>
    <row r="17" customFormat="false" ht="15" hidden="false" customHeight="false" outlineLevel="0" collapsed="false">
      <c r="B17" s="13" t="s">
        <v>193</v>
      </c>
      <c r="C17" s="13" t="s">
        <v>128</v>
      </c>
      <c r="D17" s="21" t="n">
        <f aca="false">Historicals!$E$28</f>
        <v>4257.3</v>
      </c>
      <c r="E17" s="21" t="n">
        <f aca="false">E15-E19</f>
        <v>4474.20579435</v>
      </c>
      <c r="F17" s="21" t="n">
        <f aca="false">F15-F19</f>
        <v>4757.0783054256</v>
      </c>
      <c r="G17" s="21" t="n">
        <f aca="false">G15-G19</f>
        <v>5083.23004316823</v>
      </c>
      <c r="H17" s="21" t="n">
        <f aca="false">H15-H19</f>
        <v>5449.92434482264</v>
      </c>
      <c r="I17" s="21" t="n">
        <f aca="false">I15-I19</f>
        <v>5850.34443838344</v>
      </c>
    </row>
    <row r="18" customFormat="false" ht="15" hidden="false" customHeight="false" outlineLevel="0" collapsed="false">
      <c r="B18" s="13" t="s">
        <v>194</v>
      </c>
      <c r="C18" s="13" t="s">
        <v>106</v>
      </c>
      <c r="D18" s="17" t="n">
        <f aca="false">D17/D12</f>
        <v>0.532855211775308</v>
      </c>
      <c r="E18" s="17" t="n">
        <f aca="false">E17/E12</f>
        <v>0.5295</v>
      </c>
      <c r="F18" s="17" t="n">
        <f aca="false">F17/F12</f>
        <v>0.528</v>
      </c>
      <c r="G18" s="17" t="n">
        <f aca="false">G17/G12</f>
        <v>0.527</v>
      </c>
      <c r="H18" s="17" t="n">
        <f aca="false">H17/H12</f>
        <v>0.527</v>
      </c>
      <c r="I18" s="17" t="n">
        <f aca="false">I17/I12</f>
        <v>0.527</v>
      </c>
    </row>
    <row r="19" customFormat="false" ht="15" hidden="false" customHeight="false" outlineLevel="0" collapsed="false">
      <c r="B19" s="15" t="s">
        <v>195</v>
      </c>
      <c r="C19" s="13" t="s">
        <v>128</v>
      </c>
      <c r="D19" s="30" t="n">
        <f aca="false">Historicals!$E$29</f>
        <v>1865.8</v>
      </c>
      <c r="E19" s="30" t="n">
        <f aca="false">E12*Inputs!$C$29</f>
        <v>2015.29382805</v>
      </c>
      <c r="F19" s="30" t="n">
        <f aca="false">F12*Inputs!$D$29</f>
        <v>2180.3275566534</v>
      </c>
      <c r="G19" s="30" t="n">
        <f aca="false">G12*Inputs!$E$29</f>
        <v>2353.52586438909</v>
      </c>
      <c r="H19" s="30" t="n">
        <f aca="false">H12*Inputs!$F$29</f>
        <v>2533.64604265948</v>
      </c>
      <c r="I19" s="30" t="n">
        <f aca="false">I12*Inputs!$G$29</f>
        <v>2719.79959659192</v>
      </c>
    </row>
    <row r="20" customFormat="false" ht="15" hidden="false" customHeight="false" outlineLevel="0" collapsed="false">
      <c r="B20" s="13" t="s">
        <v>196</v>
      </c>
      <c r="C20" s="13" t="s">
        <v>106</v>
      </c>
      <c r="D20" s="17" t="n">
        <f aca="false">D19/D12</f>
        <v>0.233528587163312</v>
      </c>
      <c r="E20" s="17" t="n">
        <f aca="false">E19/E12</f>
        <v>0.2385</v>
      </c>
      <c r="F20" s="17" t="n">
        <f aca="false">F19/F12</f>
        <v>0.242</v>
      </c>
      <c r="G20" s="17" t="n">
        <f aca="false">G19/G12</f>
        <v>0.244</v>
      </c>
      <c r="H20" s="17" t="n">
        <f aca="false">H19/H12</f>
        <v>0.245</v>
      </c>
      <c r="I20" s="17" t="n">
        <f aca="false">I19/I12</f>
        <v>0.245</v>
      </c>
    </row>
    <row r="21" customFormat="false" ht="28.35" hidden="false" customHeight="false" outlineLevel="0" collapsed="false">
      <c r="B21" s="13" t="s">
        <v>197</v>
      </c>
      <c r="C21" s="13" t="s">
        <v>128</v>
      </c>
      <c r="E21" s="21" t="n">
        <f aca="false">Historicals!$D$98*Historicals!$C$98+Historicals!$D$99*Historicals!$C$99+Historicals!$D$100*Historicals!$C$100+Historicals!$D$101*Historicals!$C$101</f>
        <v>111.10975</v>
      </c>
      <c r="F21" s="21" t="n">
        <f aca="false">Historicals!$D$98*WACC!$C$11+Historicals!$D$99*Historicals!$C$99+Historicals!$D$100*Historicals!$C$100+Historicals!$D$101*Historicals!$C$101</f>
        <v>119.536162592896</v>
      </c>
      <c r="G21" s="21" t="n">
        <f aca="false">Historicals!$D$98*WACC!$C$11+Historicals!$D$99*Historicals!$C$99+Historicals!$D$100*Historicals!$C$100+Historicals!$D$101*Historicals!$C$101</f>
        <v>119.536162592896</v>
      </c>
      <c r="H21" s="21" t="n">
        <f aca="false">Historicals!$D$98*WACC!$C$11+Historicals!$D$99*Historicals!$C$99+Historicals!$D$100*Historicals!$C$100+Historicals!$D$101*Historicals!$C$101</f>
        <v>119.536162592896</v>
      </c>
      <c r="I21" s="21" t="n">
        <f aca="false">Historicals!$D$98*WACC!$C$11+Historicals!$D$99*Historicals!$C$99+Historicals!$D$100*Historicals!$C$100+Historicals!$D$101*Historicals!$C$101</f>
        <v>119.536162592896</v>
      </c>
      <c r="J21" s="5" t="s">
        <v>198</v>
      </c>
    </row>
    <row r="22" customFormat="false" ht="15" hidden="false" customHeight="false" outlineLevel="0" collapsed="false">
      <c r="B22" s="13" t="s">
        <v>155</v>
      </c>
      <c r="C22" s="13" t="s">
        <v>128</v>
      </c>
      <c r="E22" s="21" t="n">
        <f aca="false">(D33+D34)*Inputs!$C$48</f>
        <v>46.08</v>
      </c>
      <c r="F22" s="21" t="n">
        <f aca="false">(E33+E34)*Inputs!$C$48</f>
        <v>43.4271804922815</v>
      </c>
      <c r="G22" s="21" t="n">
        <f aca="false">(F33+F34)*Inputs!$C$48</f>
        <v>43.4271804922815</v>
      </c>
      <c r="H22" s="21" t="n">
        <f aca="false">(G33+G34)*Inputs!$C$48</f>
        <v>43.4271804922815</v>
      </c>
      <c r="I22" s="21" t="n">
        <f aca="false">(H33+H34)*Inputs!$C$48</f>
        <v>43.4271804922815</v>
      </c>
      <c r="J22" s="5" t="s">
        <v>199</v>
      </c>
    </row>
    <row r="23" customFormat="false" ht="15" hidden="false" customHeight="false" outlineLevel="0" collapsed="false">
      <c r="B23" s="13" t="s">
        <v>200</v>
      </c>
      <c r="C23" s="13" t="s">
        <v>128</v>
      </c>
      <c r="D23" s="21" t="n">
        <f aca="false">Historicals!$E$30+Historicals!$E$31</f>
        <v>53.8</v>
      </c>
      <c r="E23" s="21" t="n">
        <f aca="false">E21-E22</f>
        <v>65.02975</v>
      </c>
      <c r="F23" s="21" t="n">
        <f aca="false">F21-F22</f>
        <v>76.1089821006144</v>
      </c>
      <c r="G23" s="21" t="n">
        <f aca="false">G21-G22</f>
        <v>76.1089821006144</v>
      </c>
      <c r="H23" s="21" t="n">
        <f aca="false">H21-H22</f>
        <v>76.1089821006144</v>
      </c>
      <c r="I23" s="21" t="n">
        <f aca="false">I21-I22</f>
        <v>76.1089821006144</v>
      </c>
    </row>
    <row r="24" customFormat="false" ht="15" hidden="false" customHeight="false" outlineLevel="0" collapsed="false">
      <c r="B24" s="13" t="s">
        <v>201</v>
      </c>
      <c r="C24" s="13" t="s">
        <v>128</v>
      </c>
      <c r="D24" s="21" t="n">
        <f aca="false">D19-D23</f>
        <v>1812</v>
      </c>
      <c r="E24" s="21" t="n">
        <f aca="false">E19-E23</f>
        <v>1950.26407805</v>
      </c>
      <c r="F24" s="21" t="n">
        <f aca="false">F19-F23</f>
        <v>2104.21857455279</v>
      </c>
      <c r="G24" s="21" t="n">
        <f aca="false">G19-G23</f>
        <v>2277.41688228847</v>
      </c>
      <c r="H24" s="21" t="n">
        <f aca="false">H19-H23</f>
        <v>2457.53706055887</v>
      </c>
      <c r="I24" s="21" t="n">
        <f aca="false">I19-I23</f>
        <v>2643.69061449131</v>
      </c>
    </row>
    <row r="25" customFormat="false" ht="15" hidden="false" customHeight="false" outlineLevel="0" collapsed="false">
      <c r="B25" s="13" t="s">
        <v>202</v>
      </c>
      <c r="C25" s="13" t="s">
        <v>128</v>
      </c>
      <c r="D25" s="21" t="n">
        <f aca="false">Historicals!$E$32</f>
        <v>330</v>
      </c>
      <c r="E25" s="21" t="n">
        <f aca="false">E24*Inputs!$C$33</f>
        <v>354.9480622051</v>
      </c>
      <c r="F25" s="21" t="n">
        <f aca="false">F24*Inputs!$C$33</f>
        <v>382.967780568607</v>
      </c>
      <c r="G25" s="21" t="n">
        <f aca="false">G24*Inputs!$C$33</f>
        <v>414.489872576502</v>
      </c>
      <c r="H25" s="21" t="n">
        <f aca="false">H24*Inputs!$C$33</f>
        <v>447.271745021714</v>
      </c>
      <c r="I25" s="21" t="n">
        <f aca="false">I24*Inputs!$C$33</f>
        <v>481.151691837418</v>
      </c>
    </row>
    <row r="26" customFormat="false" ht="15" hidden="false" customHeight="false" outlineLevel="0" collapsed="false">
      <c r="B26" s="15" t="s">
        <v>203</v>
      </c>
      <c r="C26" s="13" t="s">
        <v>128</v>
      </c>
      <c r="D26" s="30" t="n">
        <f aca="false">D24-D25</f>
        <v>1482</v>
      </c>
      <c r="E26" s="30" t="n">
        <f aca="false">E24-E25</f>
        <v>1595.3160158449</v>
      </c>
      <c r="F26" s="30" t="n">
        <f aca="false">F24-F25</f>
        <v>1721.25079398418</v>
      </c>
      <c r="G26" s="30" t="n">
        <f aca="false">G24-G25</f>
        <v>1862.92700971197</v>
      </c>
      <c r="H26" s="30" t="n">
        <f aca="false">H24-H25</f>
        <v>2010.26531553715</v>
      </c>
      <c r="I26" s="30" t="n">
        <f aca="false">I24-I25</f>
        <v>2162.53892265389</v>
      </c>
    </row>
    <row r="27" customFormat="false" ht="15" hidden="false" customHeight="false" outlineLevel="0" collapsed="false">
      <c r="B27" s="13" t="s">
        <v>204</v>
      </c>
      <c r="C27" s="13" t="s">
        <v>167</v>
      </c>
      <c r="D27" s="26" t="n">
        <f aca="false">Historicals!$E$20</f>
        <v>210.2</v>
      </c>
      <c r="E27" s="26" t="n">
        <f aca="false">(D70+E70)/2+Inputs!$C$57</f>
        <v>201.259106605549</v>
      </c>
      <c r="F27" s="26" t="n">
        <f aca="false">(E70+F70)/2+Inputs!$C$57</f>
        <v>192.709716142037</v>
      </c>
      <c r="G27" s="26" t="n">
        <f aca="false">(F70+G70)/2+Inputs!$C$57</f>
        <v>184.186353611047</v>
      </c>
      <c r="H27" s="26" t="n">
        <f aca="false">(G70+H70)/2+Inputs!$C$57</f>
        <v>175.499945816607</v>
      </c>
      <c r="I27" s="26" t="n">
        <f aca="false">(H70+I70)/2+Inputs!$C$57</f>
        <v>166.690100061248</v>
      </c>
    </row>
    <row r="28" customFormat="false" ht="15" hidden="false" customHeight="false" outlineLevel="0" collapsed="false">
      <c r="B28" s="15" t="s">
        <v>205</v>
      </c>
      <c r="C28" s="13" t="s">
        <v>142</v>
      </c>
      <c r="D28" s="16" t="n">
        <f aca="false">D26/D27</f>
        <v>7.05042816365366</v>
      </c>
      <c r="E28" s="16" t="n">
        <f aca="false">E26/E27</f>
        <v>7.92667741972832</v>
      </c>
      <c r="F28" s="16" t="n">
        <f aca="false">F26/F27</f>
        <v>8.93183192027291</v>
      </c>
      <c r="G28" s="16" t="n">
        <f aca="false">G26/G27</f>
        <v>10.1143595776155</v>
      </c>
      <c r="H28" s="16" t="n">
        <f aca="false">H26/H27</f>
        <v>11.4545067588672</v>
      </c>
      <c r="I28" s="16" t="n">
        <f aca="false">I26/I27</f>
        <v>12.9734094697843</v>
      </c>
    </row>
    <row r="29" customFormat="false" ht="15" hidden="false" customHeight="false" outlineLevel="0" collapsed="false">
      <c r="B29" s="22" t="s">
        <v>187</v>
      </c>
      <c r="C29" s="22" t="s">
        <v>106</v>
      </c>
      <c r="D29" s="24"/>
      <c r="E29" s="20" t="n">
        <f aca="false">E28/D28-1</f>
        <v>0.124283126603841</v>
      </c>
      <c r="F29" s="20" t="n">
        <f aca="false">F28/E28-1</f>
        <v>0.1268065353641</v>
      </c>
      <c r="G29" s="20" t="n">
        <f aca="false">G28/F28-1</f>
        <v>0.132394750360066</v>
      </c>
      <c r="H29" s="20" t="n">
        <f aca="false">H28/G28-1</f>
        <v>0.132499459898342</v>
      </c>
      <c r="I29" s="20" t="n">
        <f aca="false">I28/H28-1</f>
        <v>0.132603065578648</v>
      </c>
      <c r="J29" s="24"/>
    </row>
    <row r="31" customFormat="false" ht="15" hidden="false" customHeight="false" outlineLevel="0" collapsed="false">
      <c r="B31" s="11" t="s">
        <v>206</v>
      </c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B32" s="3" t="s">
        <v>184</v>
      </c>
      <c r="C32" s="3" t="s">
        <v>104</v>
      </c>
      <c r="D32" s="3" t="s">
        <v>185</v>
      </c>
      <c r="E32" s="3" t="s">
        <v>99</v>
      </c>
      <c r="F32" s="3" t="s">
        <v>100</v>
      </c>
      <c r="G32" s="3" t="s">
        <v>101</v>
      </c>
      <c r="H32" s="3" t="s">
        <v>102</v>
      </c>
      <c r="I32" s="3" t="s">
        <v>103</v>
      </c>
      <c r="J32" s="3" t="s">
        <v>69</v>
      </c>
    </row>
    <row r="33" customFormat="false" ht="15" hidden="false" customHeight="false" outlineLevel="0" collapsed="false">
      <c r="B33" s="13" t="s">
        <v>207</v>
      </c>
      <c r="C33" s="13" t="s">
        <v>128</v>
      </c>
      <c r="D33" s="21" t="n">
        <f aca="false">Historicals!$E$64</f>
        <v>974.7</v>
      </c>
      <c r="E33" s="21" t="n">
        <f aca="false">E64</f>
        <v>908.379512307037</v>
      </c>
      <c r="F33" s="21" t="n">
        <f aca="false">F64</f>
        <v>908.379512307037</v>
      </c>
      <c r="G33" s="21" t="n">
        <f aca="false">G64</f>
        <v>908.379512307037</v>
      </c>
      <c r="H33" s="21" t="n">
        <f aca="false">H64</f>
        <v>908.379512307037</v>
      </c>
      <c r="I33" s="21" t="n">
        <f aca="false">I64</f>
        <v>908.379512307037</v>
      </c>
    </row>
    <row r="34" customFormat="false" ht="15" hidden="false" customHeight="false" outlineLevel="0" collapsed="false">
      <c r="B34" s="13" t="s">
        <v>208</v>
      </c>
      <c r="C34" s="13" t="s">
        <v>128</v>
      </c>
      <c r="D34" s="21" t="n">
        <f aca="false">Historicals!$E$65</f>
        <v>177.3</v>
      </c>
      <c r="E34" s="21" t="n">
        <f aca="false">D34</f>
        <v>177.3</v>
      </c>
      <c r="F34" s="21" t="n">
        <f aca="false">E34</f>
        <v>177.3</v>
      </c>
      <c r="G34" s="21" t="n">
        <f aca="false">F34</f>
        <v>177.3</v>
      </c>
      <c r="H34" s="21" t="n">
        <f aca="false">G34</f>
        <v>177.3</v>
      </c>
      <c r="I34" s="21" t="n">
        <f aca="false">H34</f>
        <v>177.3</v>
      </c>
    </row>
    <row r="35" customFormat="false" ht="15" hidden="false" customHeight="false" outlineLevel="0" collapsed="false">
      <c r="B35" s="13" t="s">
        <v>209</v>
      </c>
      <c r="C35" s="13" t="s">
        <v>128</v>
      </c>
      <c r="D35" s="21" t="n">
        <f aca="false">Historicals!$E$66</f>
        <v>237.1</v>
      </c>
      <c r="E35" s="21" t="n">
        <f aca="false">E12*Inputs!$C$37/365</f>
        <v>250.023529972603</v>
      </c>
      <c r="F35" s="21" t="n">
        <f aca="false">F12*Inputs!$C$37/365</f>
        <v>266.585957340164</v>
      </c>
      <c r="G35" s="21" t="n">
        <f aca="false">G12*Inputs!$C$37/365</f>
        <v>285.403989842826</v>
      </c>
      <c r="H35" s="21" t="n">
        <f aca="false">H12*Inputs!$C$37/365</f>
        <v>305.992477055884</v>
      </c>
      <c r="I35" s="21" t="n">
        <f aca="false">I12*Inputs!$C$37/365</f>
        <v>328.474538923039</v>
      </c>
    </row>
    <row r="36" customFormat="false" ht="15" hidden="false" customHeight="false" outlineLevel="0" collapsed="false">
      <c r="B36" s="13" t="s">
        <v>210</v>
      </c>
      <c r="C36" s="13" t="s">
        <v>128</v>
      </c>
      <c r="D36" s="21" t="n">
        <f aca="false">Historicals!$E$67</f>
        <v>826.2</v>
      </c>
      <c r="E36" s="21" t="n">
        <f aca="false">E14*Inputs!$C$38/365</f>
        <v>867.933533973041</v>
      </c>
      <c r="F36" s="21" t="n">
        <f aca="false">F14*Inputs!$C$38/365</f>
        <v>917.450635409188</v>
      </c>
      <c r="G36" s="21" t="n">
        <f aca="false">G14*Inputs!$C$38/365</f>
        <v>977.942056455516</v>
      </c>
      <c r="H36" s="21" t="n">
        <f aca="false">H14*Inputs!$C$38/365</f>
        <v>1043.91033505821</v>
      </c>
      <c r="I36" s="21" t="n">
        <f aca="false">I14*Inputs!$C$38/365</f>
        <v>1120.60913812144</v>
      </c>
    </row>
    <row r="37" customFormat="false" ht="15" hidden="false" customHeight="false" outlineLevel="0" collapsed="false">
      <c r="B37" s="13" t="s">
        <v>211</v>
      </c>
      <c r="C37" s="13" t="s">
        <v>128</v>
      </c>
      <c r="D37" s="21" t="n">
        <f aca="false">Historicals!$E$68</f>
        <v>667</v>
      </c>
      <c r="E37" s="21" t="n">
        <f aca="false">D37</f>
        <v>667</v>
      </c>
      <c r="F37" s="21" t="n">
        <f aca="false">E37</f>
        <v>667</v>
      </c>
      <c r="G37" s="21" t="n">
        <f aca="false">F37</f>
        <v>667</v>
      </c>
      <c r="H37" s="21" t="n">
        <f aca="false">G37</f>
        <v>667</v>
      </c>
      <c r="I37" s="21" t="n">
        <f aca="false">H37</f>
        <v>667</v>
      </c>
    </row>
    <row r="38" customFormat="false" ht="15" hidden="false" customHeight="false" outlineLevel="0" collapsed="false">
      <c r="B38" s="13" t="s">
        <v>212</v>
      </c>
      <c r="C38" s="13" t="s">
        <v>128</v>
      </c>
      <c r="D38" s="21" t="n">
        <f aca="false">Historicals!$E$69</f>
        <v>502.1</v>
      </c>
      <c r="E38" s="21" t="n">
        <f aca="false">D38+E59-E55</f>
        <v>573.9535289</v>
      </c>
      <c r="F38" s="21" t="n">
        <f aca="false">E38+F59-F55</f>
        <v>628.0112369162</v>
      </c>
      <c r="G38" s="21" t="n">
        <f aca="false">F38+G59-G55</f>
        <v>685.88482374544</v>
      </c>
      <c r="H38" s="21" t="n">
        <f aca="false">G38+H59-H55</f>
        <v>747.93329825955</v>
      </c>
      <c r="I38" s="21" t="n">
        <f aca="false">H38+I59-I55</f>
        <v>814.540635318944</v>
      </c>
    </row>
    <row r="39" customFormat="false" ht="15" hidden="false" customHeight="false" outlineLevel="0" collapsed="false">
      <c r="B39" s="13" t="s">
        <v>213</v>
      </c>
      <c r="C39" s="13" t="s">
        <v>128</v>
      </c>
      <c r="D39" s="21" t="n">
        <f aca="false">Historicals!$E$70</f>
        <v>1417.2</v>
      </c>
      <c r="E39" s="21" t="n">
        <f aca="false">D39</f>
        <v>1417.2</v>
      </c>
      <c r="F39" s="21" t="n">
        <f aca="false">E39</f>
        <v>1417.2</v>
      </c>
      <c r="G39" s="21" t="n">
        <f aca="false">F39</f>
        <v>1417.2</v>
      </c>
      <c r="H39" s="21" t="n">
        <f aca="false">G39</f>
        <v>1417.2</v>
      </c>
      <c r="I39" s="21" t="n">
        <f aca="false">H39</f>
        <v>1417.2</v>
      </c>
    </row>
    <row r="40" customFormat="false" ht="15" hidden="false" customHeight="false" outlineLevel="0" collapsed="false">
      <c r="B40" s="13" t="s">
        <v>214</v>
      </c>
      <c r="C40" s="13" t="s">
        <v>128</v>
      </c>
      <c r="D40" s="21" t="n">
        <f aca="false">Historicals!$E$71+Historicals!$E$72</f>
        <v>1674.2</v>
      </c>
      <c r="E40" s="21" t="n">
        <f aca="false">D40</f>
        <v>1674.2</v>
      </c>
      <c r="F40" s="21" t="n">
        <f aca="false">E40</f>
        <v>1674.2</v>
      </c>
      <c r="G40" s="21" t="n">
        <f aca="false">F40</f>
        <v>1674.2</v>
      </c>
      <c r="H40" s="21" t="n">
        <f aca="false">G40</f>
        <v>1674.2</v>
      </c>
      <c r="I40" s="21" t="n">
        <f aca="false">H40</f>
        <v>1674.2</v>
      </c>
    </row>
    <row r="41" customFormat="false" ht="15" hidden="false" customHeight="false" outlineLevel="0" collapsed="false">
      <c r="B41" s="13" t="s">
        <v>215</v>
      </c>
      <c r="C41" s="13" t="s">
        <v>128</v>
      </c>
      <c r="D41" s="21" t="n">
        <f aca="false">Historicals!$E$73</f>
        <v>215.9</v>
      </c>
      <c r="E41" s="21" t="n">
        <f aca="false">D41</f>
        <v>215.9</v>
      </c>
      <c r="F41" s="21" t="n">
        <f aca="false">E41</f>
        <v>215.9</v>
      </c>
      <c r="G41" s="21" t="n">
        <f aca="false">F41</f>
        <v>215.9</v>
      </c>
      <c r="H41" s="21" t="n">
        <f aca="false">G41</f>
        <v>215.9</v>
      </c>
      <c r="I41" s="21" t="n">
        <f aca="false">H41</f>
        <v>215.9</v>
      </c>
    </row>
    <row r="42" customFormat="false" ht="15" hidden="false" customHeight="false" outlineLevel="0" collapsed="false">
      <c r="B42" s="15" t="s">
        <v>216</v>
      </c>
      <c r="C42" s="13" t="s">
        <v>128</v>
      </c>
      <c r="D42" s="30" t="n">
        <f aca="false">SUM(D33:D41)</f>
        <v>6691.7</v>
      </c>
      <c r="E42" s="30" t="n">
        <f aca="false">SUM(E33:E41)</f>
        <v>6751.89010515268</v>
      </c>
      <c r="F42" s="30" t="n">
        <f aca="false">SUM(F33:F41)</f>
        <v>6872.02734197259</v>
      </c>
      <c r="G42" s="30" t="n">
        <f aca="false">SUM(G33:G41)</f>
        <v>7009.21038235082</v>
      </c>
      <c r="H42" s="30" t="n">
        <f aca="false">SUM(H33:H41)</f>
        <v>7157.81562268068</v>
      </c>
      <c r="I42" s="30" t="n">
        <f aca="false">SUM(I33:I41)</f>
        <v>7323.60382467046</v>
      </c>
    </row>
    <row r="43" customFormat="false" ht="15" hidden="false" customHeight="false" outlineLevel="0" collapsed="false">
      <c r="B43" s="13" t="s">
        <v>217</v>
      </c>
      <c r="C43" s="13" t="s">
        <v>128</v>
      </c>
      <c r="D43" s="21" t="n">
        <f aca="false">Historicals!$E$75</f>
        <v>582.3</v>
      </c>
      <c r="E43" s="21" t="n">
        <f aca="false">E14*Inputs!$C$39/365</f>
        <v>611.742756927781</v>
      </c>
      <c r="F43" s="21" t="n">
        <f aca="false">F14*Inputs!$C$39/365</f>
        <v>646.643733744471</v>
      </c>
      <c r="G43" s="21" t="n">
        <f aca="false">G14*Inputs!$C$39/365</f>
        <v>689.279704395317</v>
      </c>
      <c r="H43" s="21" t="n">
        <f aca="false">H14*Inputs!$C$39/365</f>
        <v>735.775910662931</v>
      </c>
      <c r="I43" s="21" t="n">
        <f aca="false">I14*Inputs!$C$39/365</f>
        <v>789.835277425943</v>
      </c>
    </row>
    <row r="44" customFormat="false" ht="15" hidden="false" customHeight="false" outlineLevel="0" collapsed="false">
      <c r="B44" s="13" t="s">
        <v>138</v>
      </c>
      <c r="C44" s="13" t="s">
        <v>128</v>
      </c>
      <c r="D44" s="21" t="n">
        <f aca="false">Historicals!$E$76</f>
        <v>754.9</v>
      </c>
      <c r="E44" s="21" t="n">
        <f aca="false">E12*Inputs!$C$40</f>
        <v>798.51264885</v>
      </c>
      <c r="F44" s="21" t="n">
        <f aca="false">F12*Inputs!$C$40</f>
        <v>851.40890125515</v>
      </c>
      <c r="G44" s="21" t="n">
        <f aca="false">G12*Inputs!$C$40</f>
        <v>911.508992560527</v>
      </c>
      <c r="H44" s="21" t="n">
        <f aca="false">H12*Inputs!$C$40</f>
        <v>977.263473597228</v>
      </c>
      <c r="I44" s="21" t="n">
        <f aca="false">I12*Inputs!$C$40</f>
        <v>1049.06555868546</v>
      </c>
    </row>
    <row r="45" customFormat="false" ht="15" hidden="false" customHeight="false" outlineLevel="0" collapsed="false">
      <c r="B45" s="13" t="s">
        <v>218</v>
      </c>
      <c r="C45" s="13" t="s">
        <v>128</v>
      </c>
      <c r="D45" s="21" t="n">
        <f aca="false">Historicals!$E$77+Historicals!$E$80</f>
        <v>1574</v>
      </c>
      <c r="E45" s="21" t="n">
        <f aca="false">D45</f>
        <v>1574</v>
      </c>
      <c r="F45" s="21" t="n">
        <f aca="false">E45</f>
        <v>1574</v>
      </c>
      <c r="G45" s="21" t="n">
        <f aca="false">F45</f>
        <v>1574</v>
      </c>
      <c r="H45" s="21" t="n">
        <f aca="false">G45</f>
        <v>1574</v>
      </c>
      <c r="I45" s="21" t="n">
        <f aca="false">H45</f>
        <v>1574</v>
      </c>
    </row>
    <row r="46" customFormat="false" ht="15" hidden="false" customHeight="false" outlineLevel="0" collapsed="false">
      <c r="B46" s="13" t="s">
        <v>219</v>
      </c>
      <c r="C46" s="13" t="s">
        <v>128</v>
      </c>
      <c r="D46" s="21" t="n">
        <f aca="false">Historicals!$E$79+Historicals!$E$78</f>
        <v>2379</v>
      </c>
      <c r="E46" s="21" t="n">
        <f aca="false">D46</f>
        <v>2379</v>
      </c>
      <c r="F46" s="21" t="n">
        <f aca="false">E46</f>
        <v>2379</v>
      </c>
      <c r="G46" s="21" t="n">
        <f aca="false">F46</f>
        <v>2379</v>
      </c>
      <c r="H46" s="21" t="n">
        <f aca="false">G46</f>
        <v>2379</v>
      </c>
      <c r="I46" s="21" t="n">
        <f aca="false">H46</f>
        <v>2379</v>
      </c>
      <c r="J46" s="5" t="s">
        <v>220</v>
      </c>
    </row>
    <row r="47" customFormat="false" ht="15" hidden="false" customHeight="false" outlineLevel="0" collapsed="false">
      <c r="B47" s="13" t="s">
        <v>221</v>
      </c>
      <c r="C47" s="13" t="s">
        <v>128</v>
      </c>
      <c r="D47" s="21" t="n">
        <f aca="false">Historicals!$E$81</f>
        <v>709.4</v>
      </c>
      <c r="E47" s="21" t="n">
        <f aca="false">D47</f>
        <v>709.4</v>
      </c>
      <c r="F47" s="21" t="n">
        <f aca="false">E47</f>
        <v>709.4</v>
      </c>
      <c r="G47" s="21" t="n">
        <f aca="false">F47</f>
        <v>709.4</v>
      </c>
      <c r="H47" s="21" t="n">
        <f aca="false">G47</f>
        <v>709.4</v>
      </c>
      <c r="I47" s="21" t="n">
        <f aca="false">H47</f>
        <v>709.4</v>
      </c>
    </row>
    <row r="48" customFormat="false" ht="15" hidden="false" customHeight="false" outlineLevel="0" collapsed="false">
      <c r="B48" s="15" t="s">
        <v>222</v>
      </c>
      <c r="C48" s="13" t="s">
        <v>128</v>
      </c>
      <c r="D48" s="30" t="n">
        <f aca="false">SUM(D43:D47)</f>
        <v>5999.6</v>
      </c>
      <c r="E48" s="30" t="n">
        <f aca="false">SUM(E43:E47)</f>
        <v>6072.65540577778</v>
      </c>
      <c r="F48" s="30" t="n">
        <f aca="false">SUM(F43:F47)</f>
        <v>6160.45263499962</v>
      </c>
      <c r="G48" s="30" t="n">
        <f aca="false">SUM(G43:G47)</f>
        <v>6263.18869695584</v>
      </c>
      <c r="H48" s="30" t="n">
        <f aca="false">SUM(H43:H47)</f>
        <v>6375.43938426016</v>
      </c>
      <c r="I48" s="30" t="n">
        <f aca="false">SUM(I43:I47)</f>
        <v>6501.3008361114</v>
      </c>
    </row>
    <row r="49" customFormat="false" ht="15" hidden="false" customHeight="false" outlineLevel="0" collapsed="false">
      <c r="B49" s="13" t="s">
        <v>223</v>
      </c>
      <c r="C49" s="13" t="s">
        <v>128</v>
      </c>
      <c r="D49" s="21" t="n">
        <f aca="false">Historicals!$E$83</f>
        <v>692.1</v>
      </c>
      <c r="E49" s="21" t="n">
        <f aca="false">D49+E26+E56-E61-E62</f>
        <v>679.2346993749</v>
      </c>
      <c r="F49" s="21" t="n">
        <f aca="false">E49+F26+F56-F61-F62</f>
        <v>711.574706972968</v>
      </c>
      <c r="G49" s="21" t="n">
        <f aca="false">F49+G26+G56-G61-G62</f>
        <v>746.021685394974</v>
      </c>
      <c r="H49" s="21" t="n">
        <f aca="false">G49+H26+H56-H61-H62</f>
        <v>782.376238420515</v>
      </c>
      <c r="I49" s="21" t="n">
        <f aca="false">H49+I26+I56-I61-I62</f>
        <v>822.302988559063</v>
      </c>
    </row>
    <row r="50" customFormat="false" ht="15" hidden="false" customHeight="false" outlineLevel="0" collapsed="false">
      <c r="B50" s="22" t="s">
        <v>224</v>
      </c>
      <c r="C50" s="22" t="s">
        <v>128</v>
      </c>
      <c r="D50" s="31" t="n">
        <f aca="false">D42-D48-D49</f>
        <v>0</v>
      </c>
      <c r="E50" s="31" t="n">
        <f aca="false">ROUND(E42-E48-E49,3)</f>
        <v>0</v>
      </c>
      <c r="F50" s="31" t="n">
        <f aca="false">ROUND(F42-F48-F49,3)</f>
        <v>0</v>
      </c>
      <c r="G50" s="31" t="n">
        <f aca="false">ROUND(G42-G48-G49,3)</f>
        <v>0</v>
      </c>
      <c r="H50" s="31" t="n">
        <f aca="false">ROUND(H42-H48-H49,3)</f>
        <v>0</v>
      </c>
      <c r="I50" s="31" t="n">
        <f aca="false">ROUND(I42-I48-I49,3)</f>
        <v>0</v>
      </c>
      <c r="J50" s="7" t="s">
        <v>225</v>
      </c>
    </row>
    <row r="52" customFormat="false" ht="15" hidden="false" customHeight="false" outlineLevel="0" collapsed="false">
      <c r="B52" s="11" t="s">
        <v>226</v>
      </c>
      <c r="C52" s="12"/>
      <c r="D52" s="12"/>
      <c r="E52" s="12"/>
      <c r="F52" s="12"/>
      <c r="G52" s="12"/>
      <c r="H52" s="12"/>
      <c r="I52" s="12"/>
      <c r="J52" s="12"/>
    </row>
    <row r="53" customFormat="false" ht="15" hidden="false" customHeight="false" outlineLevel="0" collapsed="false">
      <c r="B53" s="3" t="s">
        <v>184</v>
      </c>
      <c r="C53" s="3" t="s">
        <v>104</v>
      </c>
      <c r="D53" s="3" t="s">
        <v>185</v>
      </c>
      <c r="E53" s="3" t="s">
        <v>99</v>
      </c>
      <c r="F53" s="3" t="s">
        <v>100</v>
      </c>
      <c r="G53" s="3" t="s">
        <v>101</v>
      </c>
      <c r="H53" s="3" t="s">
        <v>102</v>
      </c>
      <c r="I53" s="3" t="s">
        <v>103</v>
      </c>
      <c r="J53" s="3" t="s">
        <v>69</v>
      </c>
    </row>
    <row r="54" customFormat="false" ht="15" hidden="false" customHeight="false" outlineLevel="0" collapsed="false">
      <c r="B54" s="13" t="s">
        <v>227</v>
      </c>
      <c r="C54" s="13" t="s">
        <v>128</v>
      </c>
      <c r="E54" s="21" t="n">
        <f aca="false">E26</f>
        <v>1595.3160158449</v>
      </c>
      <c r="F54" s="21" t="n">
        <f aca="false">F26</f>
        <v>1721.25079398418</v>
      </c>
      <c r="G54" s="21" t="n">
        <f aca="false">G26</f>
        <v>1862.92700971197</v>
      </c>
      <c r="H54" s="21" t="n">
        <f aca="false">H26</f>
        <v>2010.26531553715</v>
      </c>
      <c r="I54" s="21" t="n">
        <f aca="false">I26</f>
        <v>2162.53892265389</v>
      </c>
    </row>
    <row r="55" customFormat="false" ht="15" hidden="false" customHeight="false" outlineLevel="0" collapsed="false">
      <c r="B55" s="13" t="s">
        <v>228</v>
      </c>
      <c r="C55" s="13" t="s">
        <v>128</v>
      </c>
      <c r="E55" s="21" t="n">
        <f aca="false">E12*Inputs!$C$34</f>
        <v>228.1464711</v>
      </c>
      <c r="F55" s="21" t="n">
        <f aca="false">F12*Inputs!$C$34</f>
        <v>243.2596860729</v>
      </c>
      <c r="G55" s="21" t="n">
        <f aca="false">G12*Inputs!$C$34</f>
        <v>260.431140731579</v>
      </c>
      <c r="H55" s="21" t="n">
        <f aca="false">H12*Inputs!$C$34</f>
        <v>279.218135313494</v>
      </c>
      <c r="I55" s="21" t="n">
        <f aca="false">I12*Inputs!$C$34</f>
        <v>299.733016767273</v>
      </c>
    </row>
    <row r="56" customFormat="false" ht="15" hidden="false" customHeight="false" outlineLevel="0" collapsed="false">
      <c r="B56" s="13" t="s">
        <v>139</v>
      </c>
      <c r="C56" s="13" t="s">
        <v>128</v>
      </c>
      <c r="E56" s="21" t="n">
        <f aca="false">E12*Inputs!$C$41</f>
        <v>110.69328783</v>
      </c>
      <c r="F56" s="21" t="n">
        <f aca="false">F12*Inputs!$C$41</f>
        <v>118.02599583537</v>
      </c>
      <c r="G56" s="21" t="n">
        <f aca="false">G12*Inputs!$C$41</f>
        <v>126.35733124384</v>
      </c>
      <c r="H56" s="21" t="n">
        <f aca="false">H12*Inputs!$C$41</f>
        <v>135.47250268914</v>
      </c>
      <c r="I56" s="21" t="n">
        <f aca="false">I12*Inputs!$C$41</f>
        <v>145.426019246344</v>
      </c>
    </row>
    <row r="57" customFormat="false" ht="15" hidden="false" customHeight="false" outlineLevel="0" collapsed="false">
      <c r="B57" s="13" t="s">
        <v>229</v>
      </c>
      <c r="C57" s="13" t="s">
        <v>128</v>
      </c>
      <c r="E57" s="21" t="n">
        <f aca="false">-(E35-D35)-(E36-D36)+(E43-D43)+(E44-D44)</f>
        <v>18.3983418321373</v>
      </c>
      <c r="F57" s="21" t="n">
        <f aca="false">-(F35-E35)-(F36-E36)+(F43-E43)+(F44-E44)</f>
        <v>21.7177004181315</v>
      </c>
      <c r="G57" s="21" t="n">
        <f aca="false">-(G35-F35)-(G36-F36)+(G43-F43)+(G44-F44)</f>
        <v>23.4266084072333</v>
      </c>
      <c r="H57" s="21" t="n">
        <f aca="false">-(H35-G35)-(H36-G36)+(H43-G43)+(H44-G44)</f>
        <v>25.6939214885682</v>
      </c>
      <c r="I57" s="21" t="n">
        <f aca="false">-(I35-H35)-(I36-H36)+(I43-H43)+(I44-H44)</f>
        <v>26.6805869208463</v>
      </c>
    </row>
    <row r="58" customFormat="false" ht="15" hidden="false" customHeight="false" outlineLevel="0" collapsed="false">
      <c r="B58" s="15" t="s">
        <v>230</v>
      </c>
      <c r="C58" s="13" t="s">
        <v>128</v>
      </c>
      <c r="D58" s="30" t="n">
        <f aca="false">Historicals!$E$88</f>
        <v>1978.5</v>
      </c>
      <c r="E58" s="30" t="n">
        <f aca="false">E54+E55+E56+E57</f>
        <v>1952.55411660704</v>
      </c>
      <c r="F58" s="30" t="n">
        <f aca="false">F54+F55+F56+F57</f>
        <v>2104.25417631058</v>
      </c>
      <c r="G58" s="30" t="n">
        <f aca="false">G54+G55+G56+G57</f>
        <v>2273.14209009462</v>
      </c>
      <c r="H58" s="30" t="n">
        <f aca="false">H54+H55+H56+H57</f>
        <v>2450.64987502835</v>
      </c>
      <c r="I58" s="30" t="n">
        <f aca="false">I54+I55+I56+I57</f>
        <v>2634.37854558835</v>
      </c>
    </row>
    <row r="59" customFormat="false" ht="15" hidden="false" customHeight="false" outlineLevel="0" collapsed="false">
      <c r="B59" s="13" t="s">
        <v>231</v>
      </c>
      <c r="C59" s="13" t="s">
        <v>128</v>
      </c>
      <c r="E59" s="21" t="n">
        <f aca="false">Inputs!$C$35</f>
        <v>300</v>
      </c>
      <c r="F59" s="21" t="n">
        <f aca="false">F12*Inputs!$C$36</f>
        <v>297.3173940891</v>
      </c>
      <c r="G59" s="21" t="n">
        <f aca="false">G12*Inputs!$C$36</f>
        <v>318.304727560819</v>
      </c>
      <c r="H59" s="21" t="n">
        <f aca="false">H12*Inputs!$C$36</f>
        <v>341.266609827604</v>
      </c>
      <c r="I59" s="21" t="n">
        <f aca="false">I12*Inputs!$C$36</f>
        <v>366.340353826667</v>
      </c>
    </row>
    <row r="60" customFormat="false" ht="15" hidden="false" customHeight="false" outlineLevel="0" collapsed="false">
      <c r="B60" s="15" t="s">
        <v>232</v>
      </c>
      <c r="C60" s="13" t="s">
        <v>128</v>
      </c>
      <c r="E60" s="30" t="n">
        <f aca="false">E58-E59</f>
        <v>1652.55411660704</v>
      </c>
      <c r="F60" s="30" t="n">
        <f aca="false">F58-F59</f>
        <v>1806.93678222148</v>
      </c>
      <c r="G60" s="30" t="n">
        <f aca="false">G58-G59</f>
        <v>1954.8373625338</v>
      </c>
      <c r="H60" s="30" t="n">
        <f aca="false">H58-H59</f>
        <v>2109.38326520075</v>
      </c>
      <c r="I60" s="30" t="n">
        <f aca="false">I58-I59</f>
        <v>2268.03819176169</v>
      </c>
    </row>
    <row r="61" customFormat="false" ht="15" hidden="false" customHeight="false" outlineLevel="0" collapsed="false">
      <c r="B61" s="13" t="s">
        <v>233</v>
      </c>
      <c r="C61" s="13" t="s">
        <v>128</v>
      </c>
      <c r="D61" s="21" t="n">
        <f aca="false">-Historicals!$E$93</f>
        <v>326.1</v>
      </c>
      <c r="E61" s="21" t="n">
        <f aca="false">E68*D70</f>
        <v>368.8746043</v>
      </c>
      <c r="F61" s="21" t="n">
        <f aca="false">F68*E70</f>
        <v>381.071617351774</v>
      </c>
      <c r="G61" s="21" t="n">
        <f aca="false">G68*F70</f>
        <v>393.358905019951</v>
      </c>
      <c r="H61" s="21" t="n">
        <f aca="false">H68*G70</f>
        <v>404.755100854746</v>
      </c>
      <c r="I61" s="21" t="n">
        <f aca="false">I68*H70</f>
        <v>415.088107761616</v>
      </c>
    </row>
    <row r="62" customFormat="false" ht="15" hidden="false" customHeight="false" outlineLevel="0" collapsed="false">
      <c r="B62" s="13" t="s">
        <v>234</v>
      </c>
      <c r="C62" s="13" t="s">
        <v>128</v>
      </c>
      <c r="D62" s="21" t="n">
        <f aca="false">-Historicals!$E$94</f>
        <v>1554.6</v>
      </c>
      <c r="E62" s="21" t="n">
        <f aca="false">Inputs!$C$44</f>
        <v>1350</v>
      </c>
      <c r="F62" s="21" t="n">
        <f aca="false">MAX(0,F60-F61)</f>
        <v>1425.86516486971</v>
      </c>
      <c r="G62" s="21" t="n">
        <f aca="false">MAX(0,G60-G61)</f>
        <v>1561.47845751385</v>
      </c>
      <c r="H62" s="21" t="n">
        <f aca="false">MAX(0,H60-H61)</f>
        <v>1704.628164346</v>
      </c>
      <c r="I62" s="21" t="n">
        <f aca="false">MAX(0,I60-I61)</f>
        <v>1852.95008400007</v>
      </c>
    </row>
    <row r="63" customFormat="false" ht="15" hidden="false" customHeight="false" outlineLevel="0" collapsed="false">
      <c r="B63" s="13" t="s">
        <v>235</v>
      </c>
      <c r="C63" s="13" t="s">
        <v>128</v>
      </c>
      <c r="E63" s="21" t="n">
        <f aca="false">E60-E61-E62</f>
        <v>-66.3204876929628</v>
      </c>
      <c r="F63" s="21" t="n">
        <f aca="false">F60-F61-F62</f>
        <v>0</v>
      </c>
      <c r="G63" s="21" t="n">
        <f aca="false">G60-G61-G62</f>
        <v>0</v>
      </c>
      <c r="H63" s="21" t="n">
        <f aca="false">H60-H61-H62</f>
        <v>0</v>
      </c>
      <c r="I63" s="21" t="n">
        <f aca="false">I60-I61-I62</f>
        <v>0</v>
      </c>
    </row>
    <row r="64" customFormat="false" ht="15" hidden="false" customHeight="false" outlineLevel="0" collapsed="false">
      <c r="B64" s="18" t="s">
        <v>236</v>
      </c>
      <c r="C64" s="22" t="s">
        <v>128</v>
      </c>
      <c r="D64" s="24"/>
      <c r="E64" s="32" t="n">
        <f aca="false">D33+E63</f>
        <v>908.379512307037</v>
      </c>
      <c r="F64" s="32" t="n">
        <f aca="false">E33+F63</f>
        <v>908.379512307037</v>
      </c>
      <c r="G64" s="32" t="n">
        <f aca="false">F33+G63</f>
        <v>908.379512307037</v>
      </c>
      <c r="H64" s="32" t="n">
        <f aca="false">G33+H63</f>
        <v>908.379512307037</v>
      </c>
      <c r="I64" s="32" t="n">
        <f aca="false">H33+I63</f>
        <v>908.379512307037</v>
      </c>
      <c r="J64" s="24"/>
    </row>
    <row r="66" customFormat="false" ht="15" hidden="false" customHeight="false" outlineLevel="0" collapsed="false">
      <c r="B66" s="11" t="s">
        <v>237</v>
      </c>
      <c r="C66" s="12"/>
      <c r="D66" s="12"/>
      <c r="E66" s="12"/>
      <c r="F66" s="12"/>
      <c r="G66" s="12"/>
      <c r="H66" s="12"/>
      <c r="I66" s="12"/>
      <c r="J66" s="12"/>
    </row>
    <row r="67" customFormat="false" ht="15" hidden="false" customHeight="false" outlineLevel="0" collapsed="false">
      <c r="B67" s="3" t="s">
        <v>184</v>
      </c>
      <c r="C67" s="3" t="s">
        <v>104</v>
      </c>
      <c r="D67" s="3" t="s">
        <v>185</v>
      </c>
      <c r="E67" s="3" t="s">
        <v>99</v>
      </c>
      <c r="F67" s="3" t="s">
        <v>100</v>
      </c>
      <c r="G67" s="3" t="s">
        <v>101</v>
      </c>
      <c r="H67" s="3" t="s">
        <v>102</v>
      </c>
      <c r="I67" s="3" t="s">
        <v>103</v>
      </c>
      <c r="J67" s="3" t="s">
        <v>69</v>
      </c>
    </row>
    <row r="68" customFormat="false" ht="15" hidden="false" customHeight="false" outlineLevel="0" collapsed="false">
      <c r="B68" s="13" t="s">
        <v>238</v>
      </c>
      <c r="C68" s="13" t="s">
        <v>142</v>
      </c>
      <c r="D68" s="14" t="n">
        <v>1.6</v>
      </c>
      <c r="E68" s="14" t="n">
        <f aca="false">Inputs!$C$42</f>
        <v>1.85</v>
      </c>
      <c r="F68" s="14" t="n">
        <f aca="false">E68*(1+Inputs!$C$43)</f>
        <v>1.998</v>
      </c>
      <c r="G68" s="14" t="n">
        <f aca="false">F68*(1+Inputs!$C$43)</f>
        <v>2.15784</v>
      </c>
      <c r="H68" s="14" t="n">
        <f aca="false">G68*(1+Inputs!$C$43)</f>
        <v>2.3304672</v>
      </c>
      <c r="I68" s="14" t="n">
        <f aca="false">H68*(1+Inputs!$C$43)</f>
        <v>2.516904576</v>
      </c>
    </row>
    <row r="69" customFormat="false" ht="15" hidden="false" customHeight="false" outlineLevel="0" collapsed="false">
      <c r="B69" s="13" t="s">
        <v>239</v>
      </c>
      <c r="C69" s="13" t="s">
        <v>142</v>
      </c>
      <c r="E69" s="14" t="n">
        <f aca="false">Inputs!$C$53</f>
        <v>115.82</v>
      </c>
      <c r="F69" s="14" t="n">
        <f aca="false">E69*(1+Inputs!$C$46)</f>
        <v>126.2438</v>
      </c>
      <c r="G69" s="14" t="n">
        <f aca="false">F69*(1+Inputs!$C$46)</f>
        <v>137.605742</v>
      </c>
      <c r="H69" s="14" t="n">
        <f aca="false">G69*(1+Inputs!$C$46)</f>
        <v>149.99025878</v>
      </c>
      <c r="I69" s="14" t="n">
        <f aca="false">H69*(1+Inputs!$C$46)</f>
        <v>163.4893820702</v>
      </c>
    </row>
    <row r="70" customFormat="false" ht="15" hidden="false" customHeight="false" outlineLevel="0" collapsed="false">
      <c r="B70" s="22" t="s">
        <v>240</v>
      </c>
      <c r="C70" s="22" t="s">
        <v>167</v>
      </c>
      <c r="D70" s="33" t="n">
        <f aca="false">Historicals!$C$105</f>
        <v>199.391678</v>
      </c>
      <c r="E70" s="33" t="n">
        <f aca="false">D70*(1+Inputs!$C$47)-E62/E69</f>
        <v>190.726535211098</v>
      </c>
      <c r="F70" s="33" t="n">
        <f aca="false">E70*(1+Inputs!$C$47)-F62/F69</f>
        <v>182.292897072976</v>
      </c>
      <c r="G70" s="33" t="n">
        <f aca="false">F70*(1+Inputs!$C$47)-G62/G69</f>
        <v>173.679810149118</v>
      </c>
      <c r="H70" s="33" t="n">
        <f aca="false">G70*(1+Inputs!$C$47)-H62/H69</f>
        <v>164.920081484097</v>
      </c>
      <c r="I70" s="33" t="n">
        <f aca="false">H70*(1+Inputs!$C$47)-I62/I69</f>
        <v>156.060118638399</v>
      </c>
      <c r="J70" s="7" t="s">
        <v>241</v>
      </c>
    </row>
    <row r="72" customFormat="false" ht="15" hidden="false" customHeight="false" outlineLevel="0" collapsed="false">
      <c r="B72" s="11" t="s">
        <v>242</v>
      </c>
      <c r="C72" s="12"/>
      <c r="D72" s="12"/>
      <c r="E72" s="12"/>
      <c r="F72" s="12"/>
      <c r="G72" s="12"/>
      <c r="H72" s="12"/>
      <c r="I72" s="12"/>
      <c r="J72" s="12"/>
    </row>
    <row r="73" customFormat="false" ht="15" hidden="false" customHeight="false" outlineLevel="0" collapsed="false">
      <c r="B73" s="10" t="s">
        <v>243</v>
      </c>
    </row>
    <row r="74" customFormat="false" ht="15" hidden="false" customHeight="false" outlineLevel="0" collapsed="false">
      <c r="B74" s="3" t="s">
        <v>184</v>
      </c>
      <c r="C74" s="3" t="s">
        <v>104</v>
      </c>
      <c r="D74" s="3" t="s">
        <v>185</v>
      </c>
      <c r="E74" s="3" t="s">
        <v>99</v>
      </c>
      <c r="F74" s="3" t="s">
        <v>100</v>
      </c>
      <c r="G74" s="3" t="s">
        <v>101</v>
      </c>
      <c r="H74" s="3" t="s">
        <v>102</v>
      </c>
      <c r="I74" s="3" t="s">
        <v>103</v>
      </c>
      <c r="J74" s="3" t="s">
        <v>69</v>
      </c>
    </row>
    <row r="75" customFormat="false" ht="15" hidden="false" customHeight="false" outlineLevel="0" collapsed="false">
      <c r="B75" s="13" t="s">
        <v>195</v>
      </c>
      <c r="C75" s="13" t="s">
        <v>128</v>
      </c>
      <c r="E75" s="21" t="n">
        <f aca="false">E19</f>
        <v>2015.29382805</v>
      </c>
      <c r="F75" s="21" t="n">
        <f aca="false">F19</f>
        <v>2180.3275566534</v>
      </c>
      <c r="G75" s="21" t="n">
        <f aca="false">G19</f>
        <v>2353.52586438909</v>
      </c>
      <c r="H75" s="21" t="n">
        <f aca="false">H19</f>
        <v>2533.64604265948</v>
      </c>
      <c r="I75" s="21" t="n">
        <f aca="false">I19</f>
        <v>2719.79959659192</v>
      </c>
    </row>
    <row r="76" customFormat="false" ht="15" hidden="false" customHeight="false" outlineLevel="0" collapsed="false">
      <c r="B76" s="13" t="s">
        <v>244</v>
      </c>
      <c r="C76" s="13" t="s">
        <v>128</v>
      </c>
      <c r="E76" s="21" t="n">
        <f aca="false">-E19*Inputs!$C$33</f>
        <v>-366.7834767051</v>
      </c>
      <c r="F76" s="21" t="n">
        <f aca="false">-F19*Inputs!$C$33</f>
        <v>-396.819615310919</v>
      </c>
      <c r="G76" s="21" t="n">
        <f aca="false">-G19*Inputs!$C$33</f>
        <v>-428.341707318814</v>
      </c>
      <c r="H76" s="21" t="n">
        <f aca="false">-H19*Inputs!$C$33</f>
        <v>-461.123579764025</v>
      </c>
      <c r="I76" s="21" t="n">
        <f aca="false">-I19*Inputs!$C$33</f>
        <v>-495.00352657973</v>
      </c>
    </row>
    <row r="77" customFormat="false" ht="15" hidden="false" customHeight="false" outlineLevel="0" collapsed="false">
      <c r="B77" s="13" t="s">
        <v>245</v>
      </c>
      <c r="C77" s="13" t="s">
        <v>128</v>
      </c>
      <c r="E77" s="21" t="n">
        <f aca="false">E55</f>
        <v>228.1464711</v>
      </c>
      <c r="F77" s="21" t="n">
        <f aca="false">F55</f>
        <v>243.2596860729</v>
      </c>
      <c r="G77" s="21" t="n">
        <f aca="false">G55</f>
        <v>260.431140731579</v>
      </c>
      <c r="H77" s="21" t="n">
        <f aca="false">H55</f>
        <v>279.218135313494</v>
      </c>
      <c r="I77" s="21" t="n">
        <f aca="false">I55</f>
        <v>299.733016767273</v>
      </c>
    </row>
    <row r="78" customFormat="false" ht="15" hidden="false" customHeight="false" outlineLevel="0" collapsed="false">
      <c r="B78" s="13" t="s">
        <v>231</v>
      </c>
      <c r="C78" s="13" t="s">
        <v>128</v>
      </c>
      <c r="E78" s="21" t="n">
        <f aca="false">-E59</f>
        <v>-300</v>
      </c>
      <c r="F78" s="21" t="n">
        <f aca="false">-F59</f>
        <v>-297.3173940891</v>
      </c>
      <c r="G78" s="21" t="n">
        <f aca="false">-G59</f>
        <v>-318.304727560819</v>
      </c>
      <c r="H78" s="21" t="n">
        <f aca="false">-H59</f>
        <v>-341.266609827604</v>
      </c>
      <c r="I78" s="21" t="n">
        <f aca="false">-I59</f>
        <v>-366.340353826667</v>
      </c>
    </row>
    <row r="79" customFormat="false" ht="15" hidden="false" customHeight="false" outlineLevel="0" collapsed="false">
      <c r="B79" s="13" t="s">
        <v>229</v>
      </c>
      <c r="C79" s="13" t="s">
        <v>128</v>
      </c>
      <c r="E79" s="21" t="n">
        <f aca="false">E57</f>
        <v>18.3983418321373</v>
      </c>
      <c r="F79" s="21" t="n">
        <f aca="false">F57</f>
        <v>21.7177004181315</v>
      </c>
      <c r="G79" s="21" t="n">
        <f aca="false">G57</f>
        <v>23.4266084072333</v>
      </c>
      <c r="H79" s="21" t="n">
        <f aca="false">H57</f>
        <v>25.6939214885682</v>
      </c>
      <c r="I79" s="21" t="n">
        <f aca="false">I57</f>
        <v>26.6805869208463</v>
      </c>
    </row>
    <row r="80" customFormat="false" ht="15" hidden="false" customHeight="false" outlineLevel="0" collapsed="false">
      <c r="B80" s="15" t="s">
        <v>246</v>
      </c>
      <c r="C80" s="13" t="s">
        <v>128</v>
      </c>
      <c r="E80" s="30" t="n">
        <f aca="false">SUM(E75:E79)</f>
        <v>1595.05516427704</v>
      </c>
      <c r="F80" s="30" t="n">
        <f aca="false">SUM(F75:F79)</f>
        <v>1751.16793374441</v>
      </c>
      <c r="G80" s="30" t="n">
        <f aca="false">SUM(G75:G79)</f>
        <v>1890.73717864827</v>
      </c>
      <c r="H80" s="30" t="n">
        <f aca="false">SUM(H75:H79)</f>
        <v>2036.16790986991</v>
      </c>
      <c r="I80" s="30" t="n">
        <f aca="false">SUM(I75:I79)</f>
        <v>2184.86931987364</v>
      </c>
    </row>
    <row r="81" customFormat="false" ht="15" hidden="false" customHeight="false" outlineLevel="0" collapsed="false">
      <c r="B81" s="13" t="s">
        <v>247</v>
      </c>
      <c r="C81" s="13" t="s">
        <v>174</v>
      </c>
      <c r="E81" s="34" t="n">
        <f aca="false">WACC!$C$28</f>
        <v>0.734246575342466</v>
      </c>
      <c r="F81" s="34" t="n">
        <f aca="false">1</f>
        <v>1</v>
      </c>
      <c r="G81" s="34" t="n">
        <f aca="false">1</f>
        <v>1</v>
      </c>
      <c r="H81" s="34" t="n">
        <f aca="false">1</f>
        <v>1</v>
      </c>
      <c r="I81" s="34" t="n">
        <f aca="false">1</f>
        <v>1</v>
      </c>
    </row>
    <row r="82" customFormat="false" ht="15" hidden="false" customHeight="false" outlineLevel="0" collapsed="false">
      <c r="B82" s="13" t="s">
        <v>248</v>
      </c>
      <c r="C82" s="13" t="s">
        <v>128</v>
      </c>
      <c r="E82" s="21" t="n">
        <f aca="false">E80*E81</f>
        <v>1171.16379185273</v>
      </c>
      <c r="F82" s="21" t="n">
        <f aca="false">F80*F81</f>
        <v>1751.16793374441</v>
      </c>
      <c r="G82" s="21" t="n">
        <f aca="false">G80*G81</f>
        <v>1890.73717864827</v>
      </c>
      <c r="H82" s="21" t="n">
        <f aca="false">H80*H81</f>
        <v>2036.16790986991</v>
      </c>
      <c r="I82" s="21" t="n">
        <f aca="false">I80*I81</f>
        <v>2184.86931987364</v>
      </c>
    </row>
    <row r="83" customFormat="false" ht="15" hidden="false" customHeight="false" outlineLevel="0" collapsed="false">
      <c r="B83" s="13" t="s">
        <v>249</v>
      </c>
      <c r="C83" s="13" t="s">
        <v>250</v>
      </c>
      <c r="E83" s="34" t="n">
        <f aca="false">WACC!$C$28/2</f>
        <v>0.367123287671233</v>
      </c>
      <c r="F83" s="34" t="n">
        <f aca="false">WACC!$C$28+1-0.5</f>
        <v>1.23424657534247</v>
      </c>
      <c r="G83" s="34" t="n">
        <f aca="false">WACC!$C$28+2-0.5</f>
        <v>2.23424657534247</v>
      </c>
      <c r="H83" s="34" t="n">
        <f aca="false">WACC!$C$28+3-0.5</f>
        <v>3.23424657534247</v>
      </c>
      <c r="I83" s="34" t="n">
        <f aca="false">WACC!$C$28+4-0.5</f>
        <v>4.23424657534247</v>
      </c>
    </row>
    <row r="84" customFormat="false" ht="15" hidden="false" customHeight="false" outlineLevel="0" collapsed="false">
      <c r="B84" s="13" t="s">
        <v>251</v>
      </c>
      <c r="C84" s="13" t="s">
        <v>174</v>
      </c>
      <c r="E84" s="35" t="n">
        <f aca="false">1/(1+WACC!$C$27)^E83</f>
        <v>0.963266299229137</v>
      </c>
      <c r="F84" s="35" t="n">
        <f aca="false">1/(1+WACC!$C$27)^F83</f>
        <v>0.881771898544091</v>
      </c>
      <c r="G84" s="35" t="n">
        <f aca="false">1/(1+WACC!$C$27)^G83</f>
        <v>0.796312066679301</v>
      </c>
      <c r="H84" s="35" t="n">
        <f aca="false">1/(1+WACC!$C$27)^H83</f>
        <v>0.719134856288859</v>
      </c>
      <c r="I84" s="35" t="n">
        <f aca="false">1/(1+WACC!$C$27)^I83</f>
        <v>0.649437529794299</v>
      </c>
    </row>
    <row r="85" customFormat="false" ht="15" hidden="false" customHeight="false" outlineLevel="0" collapsed="false">
      <c r="B85" s="22" t="s">
        <v>252</v>
      </c>
      <c r="C85" s="22" t="s">
        <v>128</v>
      </c>
      <c r="D85" s="24"/>
      <c r="E85" s="31" t="n">
        <f aca="false">E82*E84</f>
        <v>1128.14261156914</v>
      </c>
      <c r="F85" s="31" t="n">
        <f aca="false">F82*F84</f>
        <v>1544.13067360734</v>
      </c>
      <c r="G85" s="31" t="n">
        <f aca="false">G82*G84</f>
        <v>1505.61683027679</v>
      </c>
      <c r="H85" s="31" t="n">
        <f aca="false">H82*H84</f>
        <v>1464.27931724429</v>
      </c>
      <c r="I85" s="31" t="n">
        <f aca="false">I82*I84</f>
        <v>1418.93613402209</v>
      </c>
      <c r="J85" s="24"/>
    </row>
    <row r="87" customFormat="false" ht="15" hidden="false" customHeight="false" outlineLevel="0" collapsed="false">
      <c r="B87" s="11" t="s">
        <v>253</v>
      </c>
      <c r="C87" s="12"/>
      <c r="D87" s="12"/>
      <c r="E87" s="12"/>
      <c r="F87" s="12"/>
      <c r="G87" s="12"/>
      <c r="H87" s="12"/>
      <c r="I87" s="12"/>
      <c r="J87" s="12"/>
    </row>
    <row r="88" customFormat="false" ht="15" hidden="false" customHeight="false" outlineLevel="0" collapsed="false">
      <c r="B88" s="3" t="s">
        <v>39</v>
      </c>
      <c r="C88" s="3" t="s">
        <v>104</v>
      </c>
      <c r="D88" s="3" t="s">
        <v>40</v>
      </c>
      <c r="E88" s="3"/>
      <c r="F88" s="3"/>
      <c r="G88" s="3"/>
      <c r="H88" s="3"/>
      <c r="I88" s="3"/>
      <c r="J88" s="3" t="s">
        <v>69</v>
      </c>
    </row>
    <row r="89" customFormat="false" ht="15" hidden="false" customHeight="false" outlineLevel="0" collapsed="false">
      <c r="B89" s="13" t="s">
        <v>254</v>
      </c>
      <c r="C89" s="13" t="s">
        <v>128</v>
      </c>
      <c r="D89" s="21" t="n">
        <f aca="false">SUM(E85:I85)</f>
        <v>7061.10556671965</v>
      </c>
    </row>
    <row r="90" customFormat="false" ht="15" hidden="false" customHeight="false" outlineLevel="0" collapsed="false">
      <c r="B90" s="13" t="s">
        <v>255</v>
      </c>
      <c r="C90" s="13" t="s">
        <v>128</v>
      </c>
      <c r="D90" s="21" t="n">
        <f aca="false">I80*(1+Inputs!$C$49)/(WACC!$C$27-Inputs!$C$49)</f>
        <v>29105.3964925902</v>
      </c>
      <c r="J90" s="5" t="s">
        <v>256</v>
      </c>
    </row>
    <row r="91" customFormat="false" ht="15" hidden="false" customHeight="false" outlineLevel="0" collapsed="false">
      <c r="B91" s="13" t="s">
        <v>257</v>
      </c>
      <c r="C91" s="13" t="s">
        <v>128</v>
      </c>
      <c r="D91" s="21" t="n">
        <f aca="false">D90/(1+WACC!$C$27)^(WACC!$C$28+4)</f>
        <v>17962.816085206</v>
      </c>
    </row>
    <row r="92" customFormat="false" ht="15" hidden="false" customHeight="false" outlineLevel="0" collapsed="false">
      <c r="B92" s="15" t="s">
        <v>258</v>
      </c>
      <c r="C92" s="13" t="s">
        <v>128</v>
      </c>
      <c r="D92" s="30" t="n">
        <f aca="false">D89+D91</f>
        <v>25023.9216519256</v>
      </c>
    </row>
    <row r="93" customFormat="false" ht="15" hidden="false" customHeight="false" outlineLevel="0" collapsed="false">
      <c r="B93" s="13" t="s">
        <v>259</v>
      </c>
      <c r="C93" s="13" t="s">
        <v>128</v>
      </c>
      <c r="D93" s="21" t="n">
        <f aca="false">-Historicals!$E$79</f>
        <v>-2379</v>
      </c>
      <c r="J93" s="5" t="s">
        <v>260</v>
      </c>
    </row>
    <row r="94" customFormat="false" ht="15" hidden="false" customHeight="false" outlineLevel="0" collapsed="false">
      <c r="B94" s="13" t="s">
        <v>261</v>
      </c>
      <c r="C94" s="13" t="s">
        <v>128</v>
      </c>
      <c r="D94" s="21" t="n">
        <f aca="false">Historicals!$E$64+Historicals!$E$65</f>
        <v>1152</v>
      </c>
      <c r="J94" s="5" t="s">
        <v>260</v>
      </c>
    </row>
    <row r="95" customFormat="false" ht="15" hidden="false" customHeight="false" outlineLevel="0" collapsed="false">
      <c r="B95" s="15" t="s">
        <v>262</v>
      </c>
      <c r="C95" s="13" t="s">
        <v>128</v>
      </c>
      <c r="D95" s="30" t="n">
        <f aca="false">SUM(D92:D94)</f>
        <v>23796.9216519256</v>
      </c>
    </row>
    <row r="96" customFormat="false" ht="15" hidden="false" customHeight="false" outlineLevel="0" collapsed="false">
      <c r="B96" s="13" t="s">
        <v>263</v>
      </c>
      <c r="C96" s="13" t="s">
        <v>167</v>
      </c>
      <c r="D96" s="26" t="n">
        <f aca="false">Inputs!$C$56+Inputs!$C$57</f>
        <v>205.591678</v>
      </c>
    </row>
    <row r="97" customFormat="false" ht="15" hidden="false" customHeight="false" outlineLevel="0" collapsed="false">
      <c r="B97" s="15" t="s">
        <v>51</v>
      </c>
      <c r="C97" s="13" t="s">
        <v>142</v>
      </c>
      <c r="D97" s="16" t="n">
        <f aca="false">D95/D96</f>
        <v>115.748467464357</v>
      </c>
    </row>
    <row r="98" customFormat="false" ht="15" hidden="false" customHeight="false" outlineLevel="0" collapsed="false">
      <c r="B98" s="13" t="s">
        <v>264</v>
      </c>
      <c r="C98" s="13" t="s">
        <v>106</v>
      </c>
      <c r="D98" s="17" t="n">
        <f aca="false">D97/Inputs!$C$53-1</f>
        <v>-0.000617618163035405</v>
      </c>
    </row>
    <row r="99" customFormat="false" ht="15" hidden="false" customHeight="false" outlineLevel="0" collapsed="false">
      <c r="B99" s="13" t="s">
        <v>265</v>
      </c>
      <c r="C99" s="13" t="s">
        <v>106</v>
      </c>
      <c r="D99" s="17" t="n">
        <f aca="false">D91/D92</f>
        <v>0.717825780269885</v>
      </c>
    </row>
    <row r="100" customFormat="false" ht="15" hidden="false" customHeight="false" outlineLevel="0" collapsed="false">
      <c r="B100" s="22" t="s">
        <v>266</v>
      </c>
      <c r="C100" s="22" t="s">
        <v>174</v>
      </c>
      <c r="D100" s="36" t="n">
        <f aca="false">D90/(I19+I55)</f>
        <v>9.63904028187026</v>
      </c>
      <c r="E100" s="24"/>
      <c r="F100" s="24"/>
      <c r="G100" s="24"/>
      <c r="H100" s="24"/>
      <c r="I100" s="24"/>
      <c r="J100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0"/>
  </cols>
  <sheetData>
    <row r="2" customFormat="false" ht="15" hidden="false" customHeight="false" outlineLevel="0" collapsed="false">
      <c r="B2" s="8" t="s">
        <v>271</v>
      </c>
      <c r="C2" s="9"/>
      <c r="D2" s="9"/>
      <c r="E2" s="9"/>
    </row>
    <row r="3" customFormat="false" ht="15" hidden="false" customHeight="false" outlineLevel="0" collapsed="false">
      <c r="B3" s="10" t="s">
        <v>272</v>
      </c>
    </row>
    <row r="5" customFormat="false" ht="15" hidden="false" customHeight="false" outlineLevel="0" collapsed="false">
      <c r="B5" s="11" t="s">
        <v>273</v>
      </c>
      <c r="C5" s="12"/>
      <c r="D5" s="12"/>
      <c r="E5" s="12"/>
    </row>
    <row r="6" customFormat="false" ht="15" hidden="false" customHeight="false" outlineLevel="0" collapsed="false">
      <c r="B6" s="10" t="s">
        <v>274</v>
      </c>
    </row>
    <row r="7" customFormat="false" ht="15" hidden="false" customHeight="false" outlineLevel="0" collapsed="false">
      <c r="B7" s="3" t="s">
        <v>39</v>
      </c>
      <c r="C7" s="3" t="s">
        <v>40</v>
      </c>
      <c r="D7" s="3" t="s">
        <v>104</v>
      </c>
      <c r="E7" s="3" t="s">
        <v>69</v>
      </c>
    </row>
    <row r="8" customFormat="false" ht="15" hidden="false" customHeight="false" outlineLevel="0" collapsed="false">
      <c r="B8" s="13" t="s">
        <v>275</v>
      </c>
      <c r="C8" s="34" t="n">
        <f aca="false">Historicals!$E$101/Historicals!$D$101*100</f>
        <v>101.026666666667</v>
      </c>
      <c r="D8" s="13" t="s">
        <v>276</v>
      </c>
      <c r="E8" s="5" t="s">
        <v>277</v>
      </c>
    </row>
    <row r="9" customFormat="false" ht="15" hidden="false" customHeight="false" outlineLevel="0" collapsed="false">
      <c r="B9" s="13" t="s">
        <v>278</v>
      </c>
      <c r="C9" s="27" t="n">
        <f aca="false">YIELD(DATE(2026,6,27),DATE(2035,3,11),Historicals!$C$101,C8,100,2,0)</f>
        <v>0.0534966278186988</v>
      </c>
      <c r="D9" s="13" t="s">
        <v>106</v>
      </c>
    </row>
    <row r="10" customFormat="false" ht="15" hidden="false" customHeight="false" outlineLevel="0" collapsed="false">
      <c r="B10" s="13" t="s">
        <v>279</v>
      </c>
      <c r="C10" s="27" t="n">
        <f aca="false">Inputs!$C$58-'Market Data'!$C$28</f>
        <v>0.009</v>
      </c>
      <c r="D10" s="13" t="s">
        <v>106</v>
      </c>
    </row>
    <row r="11" customFormat="false" ht="15" hidden="false" customHeight="false" outlineLevel="0" collapsed="false">
      <c r="B11" s="15" t="s">
        <v>280</v>
      </c>
      <c r="C11" s="37" t="n">
        <f aca="false">C9+C10</f>
        <v>0.0624966278186988</v>
      </c>
      <c r="D11" s="13" t="s">
        <v>106</v>
      </c>
    </row>
    <row r="12" customFormat="false" ht="15" hidden="false" customHeight="false" outlineLevel="0" collapsed="false">
      <c r="B12" s="22" t="s">
        <v>281</v>
      </c>
      <c r="C12" s="38" t="n">
        <f aca="false">WACC!$C$11*(1-Inputs!$C$61)</f>
        <v>0.049372335976772</v>
      </c>
      <c r="D12" s="22" t="s">
        <v>106</v>
      </c>
      <c r="E12" s="24"/>
    </row>
    <row r="14" customFormat="false" ht="15" hidden="false" customHeight="false" outlineLevel="0" collapsed="false">
      <c r="B14" s="11" t="s">
        <v>282</v>
      </c>
      <c r="C14" s="12"/>
      <c r="D14" s="12"/>
      <c r="E14" s="12"/>
    </row>
    <row r="15" customFormat="false" ht="15" hidden="false" customHeight="false" outlineLevel="0" collapsed="false">
      <c r="B15" s="3" t="s">
        <v>39</v>
      </c>
      <c r="C15" s="3" t="s">
        <v>40</v>
      </c>
      <c r="D15" s="3" t="s">
        <v>104</v>
      </c>
      <c r="E15" s="3" t="s">
        <v>69</v>
      </c>
    </row>
    <row r="16" customFormat="false" ht="15" hidden="false" customHeight="false" outlineLevel="0" collapsed="false">
      <c r="B16" s="13" t="s">
        <v>283</v>
      </c>
      <c r="C16" s="27" t="n">
        <f aca="false">Inputs!$C$58</f>
        <v>0.0528</v>
      </c>
      <c r="D16" s="13" t="s">
        <v>106</v>
      </c>
    </row>
    <row r="17" customFormat="false" ht="15" hidden="false" customHeight="false" outlineLevel="0" collapsed="false">
      <c r="B17" s="13" t="s">
        <v>173</v>
      </c>
      <c r="C17" s="29" t="n">
        <f aca="false">Inputs!$C$59</f>
        <v>1.43</v>
      </c>
      <c r="D17" s="13" t="s">
        <v>174</v>
      </c>
    </row>
    <row r="18" customFormat="false" ht="15" hidden="false" customHeight="false" outlineLevel="0" collapsed="false">
      <c r="B18" s="13" t="s">
        <v>176</v>
      </c>
      <c r="C18" s="27" t="n">
        <f aca="false">Inputs!$C$60</f>
        <v>0.0423</v>
      </c>
      <c r="D18" s="13" t="s">
        <v>106</v>
      </c>
    </row>
    <row r="19" customFormat="false" ht="15" hidden="false" customHeight="false" outlineLevel="0" collapsed="false">
      <c r="B19" s="18" t="s">
        <v>284</v>
      </c>
      <c r="C19" s="39" t="n">
        <f aca="false">C16+C17*C18</f>
        <v>0.113289</v>
      </c>
      <c r="D19" s="22" t="s">
        <v>106</v>
      </c>
      <c r="E19" s="24"/>
    </row>
    <row r="21" customFormat="false" ht="15" hidden="false" customHeight="false" outlineLevel="0" collapsed="false">
      <c r="B21" s="11" t="s">
        <v>285</v>
      </c>
      <c r="C21" s="12"/>
      <c r="D21" s="12"/>
      <c r="E21" s="12"/>
    </row>
    <row r="22" customFormat="false" ht="15" hidden="false" customHeight="false" outlineLevel="0" collapsed="false">
      <c r="B22" s="3" t="s">
        <v>39</v>
      </c>
      <c r="C22" s="3" t="s">
        <v>40</v>
      </c>
      <c r="D22" s="3" t="s">
        <v>104</v>
      </c>
      <c r="E22" s="3" t="s">
        <v>69</v>
      </c>
    </row>
    <row r="23" customFormat="false" ht="15" hidden="false" customHeight="false" outlineLevel="0" collapsed="false">
      <c r="B23" s="13" t="s">
        <v>286</v>
      </c>
      <c r="C23" s="21" t="n">
        <f aca="false">Inputs!$C$53*Inputs!$C$56</f>
        <v>23093.54414596</v>
      </c>
      <c r="D23" s="13" t="s">
        <v>128</v>
      </c>
    </row>
    <row r="24" customFormat="false" ht="28.35" hidden="false" customHeight="false" outlineLevel="0" collapsed="false">
      <c r="B24" s="13" t="s">
        <v>219</v>
      </c>
      <c r="C24" s="21" t="n">
        <f aca="false">Historicals!$E$79</f>
        <v>2379</v>
      </c>
      <c r="D24" s="13" t="s">
        <v>128</v>
      </c>
      <c r="E24" s="5" t="s">
        <v>287</v>
      </c>
    </row>
    <row r="25" customFormat="false" ht="15" hidden="false" customHeight="false" outlineLevel="0" collapsed="false">
      <c r="B25" s="13" t="s">
        <v>288</v>
      </c>
      <c r="C25" s="17" t="n">
        <f aca="false">C23/(C23+C24)</f>
        <v>0.906605324290808</v>
      </c>
      <c r="D25" s="13" t="s">
        <v>106</v>
      </c>
    </row>
    <row r="26" customFormat="false" ht="15" hidden="false" customHeight="false" outlineLevel="0" collapsed="false">
      <c r="B26" s="13" t="s">
        <v>289</v>
      </c>
      <c r="C26" s="17" t="n">
        <f aca="false">C24/(C23+C24)</f>
        <v>0.0933946757091916</v>
      </c>
      <c r="D26" s="13" t="s">
        <v>106</v>
      </c>
    </row>
    <row r="27" customFormat="false" ht="15" hidden="false" customHeight="false" outlineLevel="0" collapsed="false">
      <c r="B27" s="18" t="s">
        <v>10</v>
      </c>
      <c r="C27" s="39" t="n">
        <f aca="false">C25*WACC!$C$19+C26*WACC!$C$12</f>
        <v>0.107319523891137</v>
      </c>
      <c r="D27" s="22" t="s">
        <v>106</v>
      </c>
      <c r="E27" s="24"/>
    </row>
    <row r="28" customFormat="false" ht="15" hidden="false" customHeight="false" outlineLevel="0" collapsed="false">
      <c r="B28" s="22" t="s">
        <v>290</v>
      </c>
      <c r="C28" s="40" t="n">
        <f aca="false">(Inputs!$C$55-Inputs!$C$54)/365</f>
        <v>0.734246575342466</v>
      </c>
      <c r="D28" s="22" t="s">
        <v>250</v>
      </c>
      <c r="E2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10" min="7" style="0" width="12"/>
    <col collapsed="false" customWidth="true" hidden="false" outlineLevel="0" max="11" min="11" style="0" width="60"/>
  </cols>
  <sheetData>
    <row r="2" customFormat="false" ht="15" hidden="false" customHeight="false" outlineLevel="0" collapsed="false">
      <c r="B2" s="8" t="s">
        <v>291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B3" s="10" t="s">
        <v>292</v>
      </c>
    </row>
    <row r="5" customFormat="false" ht="15" hidden="false" customHeight="false" outlineLevel="0" collapsed="false">
      <c r="B5" s="11" t="s">
        <v>293</v>
      </c>
      <c r="C5" s="12"/>
      <c r="D5" s="12"/>
      <c r="E5" s="12"/>
      <c r="F5" s="12"/>
      <c r="G5" s="12"/>
      <c r="H5" s="12"/>
      <c r="I5" s="12"/>
      <c r="J5" s="12"/>
      <c r="K5" s="12"/>
    </row>
    <row r="6" customFormat="false" ht="15" hidden="false" customHeight="false" outlineLevel="0" collapsed="false">
      <c r="B6" s="10" t="s">
        <v>294</v>
      </c>
    </row>
    <row r="7" customFormat="false" ht="15" hidden="false" customHeight="false" outlineLevel="0" collapsed="false">
      <c r="B7" s="3" t="s">
        <v>295</v>
      </c>
      <c r="C7" s="3" t="s">
        <v>296</v>
      </c>
      <c r="D7" s="3" t="s">
        <v>297</v>
      </c>
      <c r="E7" s="3" t="s">
        <v>298</v>
      </c>
      <c r="F7" s="3" t="s">
        <v>299</v>
      </c>
      <c r="G7" s="3" t="s">
        <v>300</v>
      </c>
      <c r="H7" s="3" t="s">
        <v>301</v>
      </c>
      <c r="I7" s="3" t="s">
        <v>302</v>
      </c>
      <c r="J7" s="3" t="s">
        <v>303</v>
      </c>
      <c r="K7" s="3" t="s">
        <v>304</v>
      </c>
    </row>
    <row r="8" customFormat="false" ht="15" hidden="false" customHeight="false" outlineLevel="0" collapsed="false">
      <c r="B8" s="13" t="s">
        <v>305</v>
      </c>
      <c r="C8" s="13" t="s">
        <v>306</v>
      </c>
      <c r="D8" s="13" t="s">
        <v>307</v>
      </c>
      <c r="E8" s="26" t="n">
        <v>21.97</v>
      </c>
      <c r="F8" s="26" t="n">
        <v>23.03</v>
      </c>
      <c r="G8" s="41" t="n">
        <v>18.79</v>
      </c>
      <c r="H8" s="41" t="n">
        <v>16.97</v>
      </c>
      <c r="I8" s="41" t="n">
        <v>14.45</v>
      </c>
      <c r="J8" s="17" t="n">
        <v>0.1624</v>
      </c>
      <c r="K8" s="5" t="s">
        <v>308</v>
      </c>
    </row>
    <row r="9" customFormat="false" ht="15" hidden="false" customHeight="false" outlineLevel="0" collapsed="false">
      <c r="B9" s="13" t="s">
        <v>309</v>
      </c>
      <c r="C9" s="13" t="s">
        <v>310</v>
      </c>
      <c r="D9" s="13" t="s">
        <v>307</v>
      </c>
      <c r="E9" s="26" t="n">
        <v>1.62</v>
      </c>
      <c r="F9" s="26" t="n">
        <v>2.9</v>
      </c>
      <c r="G9" s="41" t="n">
        <v>7.68</v>
      </c>
      <c r="H9" s="41" t="n">
        <v>38.54</v>
      </c>
      <c r="I9" s="41" t="n">
        <v>14.82</v>
      </c>
      <c r="J9" s="17" t="n">
        <v>0.0218</v>
      </c>
      <c r="K9" s="5" t="s">
        <v>311</v>
      </c>
    </row>
    <row r="10" customFormat="false" ht="15" hidden="false" customHeight="false" outlineLevel="0" collapsed="false">
      <c r="B10" s="13" t="s">
        <v>312</v>
      </c>
      <c r="C10" s="13" t="s">
        <v>313</v>
      </c>
      <c r="D10" s="13" t="s">
        <v>307</v>
      </c>
      <c r="E10" s="26" t="n">
        <v>3.76</v>
      </c>
      <c r="F10" s="26" t="n">
        <v>6.95</v>
      </c>
      <c r="G10" s="41" t="n">
        <v>7.34</v>
      </c>
      <c r="H10" s="41" t="n">
        <v>9.98</v>
      </c>
      <c r="I10" s="41" t="n">
        <v>7.41</v>
      </c>
      <c r="J10" s="17" t="n">
        <v>0.0766</v>
      </c>
      <c r="K10" s="5" t="s">
        <v>314</v>
      </c>
    </row>
    <row r="11" customFormat="false" ht="15" hidden="false" customHeight="false" outlineLevel="0" collapsed="false">
      <c r="B11" s="13" t="s">
        <v>315</v>
      </c>
      <c r="C11" s="13" t="s">
        <v>316</v>
      </c>
      <c r="D11" s="13" t="s">
        <v>307</v>
      </c>
      <c r="E11" s="26" t="n">
        <v>7.51</v>
      </c>
      <c r="F11" s="26" t="n">
        <v>9.06</v>
      </c>
      <c r="G11" s="41" t="n">
        <v>12.16</v>
      </c>
      <c r="H11" s="41" t="n">
        <v>11.5</v>
      </c>
      <c r="I11" s="41" t="n">
        <v>8.97</v>
      </c>
      <c r="J11" s="17" t="n">
        <v>0.1179</v>
      </c>
      <c r="K11" s="5" t="s">
        <v>317</v>
      </c>
    </row>
    <row r="12" customFormat="false" ht="15" hidden="false" customHeight="false" outlineLevel="0" collapsed="false">
      <c r="B12" s="13" t="s">
        <v>318</v>
      </c>
      <c r="C12" s="13" t="s">
        <v>316</v>
      </c>
      <c r="D12" s="13" t="s">
        <v>319</v>
      </c>
      <c r="E12" s="26" t="n">
        <v>188.04</v>
      </c>
      <c r="F12" s="26" t="n">
        <v>214.58</v>
      </c>
      <c r="G12" s="41" t="n">
        <v>16.47</v>
      </c>
      <c r="H12" s="41" t="n">
        <v>12.41</v>
      </c>
      <c r="I12" s="41" t="n">
        <v>9.31</v>
      </c>
      <c r="J12" s="17" t="n">
        <v>0.2182</v>
      </c>
      <c r="K12" s="5" t="s">
        <v>320</v>
      </c>
    </row>
    <row r="13" customFormat="false" ht="15" hidden="false" customHeight="false" outlineLevel="0" collapsed="false">
      <c r="B13" s="13" t="s">
        <v>321</v>
      </c>
      <c r="C13" s="13" t="s">
        <v>316</v>
      </c>
      <c r="D13" s="13" t="s">
        <v>319</v>
      </c>
      <c r="E13" s="26" t="n">
        <v>25.73</v>
      </c>
      <c r="F13" s="26" t="n">
        <v>36.04</v>
      </c>
      <c r="G13" s="41" t="n">
        <v>26.64</v>
      </c>
      <c r="H13" s="41" t="n">
        <v>23.57</v>
      </c>
      <c r="I13" s="41" t="n">
        <v>10.19</v>
      </c>
      <c r="J13" s="17" t="n">
        <v>0.1129</v>
      </c>
      <c r="K13" s="5" t="s">
        <v>322</v>
      </c>
    </row>
    <row r="14" customFormat="false" ht="15" hidden="false" customHeight="false" outlineLevel="0" collapsed="false">
      <c r="B14" s="13" t="s">
        <v>323</v>
      </c>
      <c r="C14" s="13" t="s">
        <v>324</v>
      </c>
      <c r="D14" s="13" t="s">
        <v>325</v>
      </c>
      <c r="E14" s="26" t="n">
        <v>99.54</v>
      </c>
      <c r="F14" s="26" t="n">
        <v>133.86</v>
      </c>
      <c r="G14" s="41" t="n">
        <v>13.75</v>
      </c>
      <c r="H14" s="41" t="n">
        <v>12.35</v>
      </c>
      <c r="I14" s="41" t="n">
        <v>7.36</v>
      </c>
      <c r="J14" s="17" t="n">
        <v>0.2008</v>
      </c>
      <c r="K14" s="5" t="s">
        <v>326</v>
      </c>
    </row>
    <row r="15" customFormat="false" ht="15" hidden="false" customHeight="false" outlineLevel="0" collapsed="false">
      <c r="B15" s="13" t="s">
        <v>327</v>
      </c>
      <c r="C15" s="13" t="s">
        <v>324</v>
      </c>
      <c r="D15" s="13" t="s">
        <v>319</v>
      </c>
      <c r="E15" s="26" t="n">
        <v>12.16</v>
      </c>
      <c r="F15" s="26" t="n">
        <v>12.25</v>
      </c>
      <c r="G15" s="41" t="n">
        <v>18.18</v>
      </c>
      <c r="H15" s="41" t="n">
        <v>13.22</v>
      </c>
      <c r="I15" s="41" t="n">
        <v>10.8</v>
      </c>
      <c r="J15" s="17" t="n">
        <v>0.2899</v>
      </c>
      <c r="K15" s="5" t="s">
        <v>328</v>
      </c>
    </row>
    <row r="16" customFormat="false" ht="15" hidden="false" customHeight="false" outlineLevel="0" collapsed="false">
      <c r="B16" s="22" t="s">
        <v>329</v>
      </c>
      <c r="C16" s="22" t="s">
        <v>316</v>
      </c>
      <c r="D16" s="22" t="s">
        <v>330</v>
      </c>
      <c r="E16" s="33" t="n">
        <v>3.64</v>
      </c>
      <c r="F16" s="33" t="n">
        <v>4.5</v>
      </c>
      <c r="G16" s="36" t="n">
        <v>26.81</v>
      </c>
      <c r="H16" s="36" t="n">
        <v>28.11</v>
      </c>
      <c r="I16" s="36" t="n">
        <v>9.14</v>
      </c>
      <c r="J16" s="20" t="n">
        <v>0.0661</v>
      </c>
      <c r="K16" s="7" t="s">
        <v>331</v>
      </c>
    </row>
    <row r="17" customFormat="false" ht="15" hidden="false" customHeight="false" outlineLevel="0" collapsed="false">
      <c r="B17" s="15" t="s">
        <v>332</v>
      </c>
      <c r="G17" s="42" t="n">
        <f aca="false">MEDIAN(G8:G16)</f>
        <v>16.47</v>
      </c>
      <c r="H17" s="42" t="n">
        <f aca="false">MEDIAN(H8:H16)</f>
        <v>13.22</v>
      </c>
      <c r="I17" s="42" t="n">
        <f aca="false">MEDIAN(I8:I16)</f>
        <v>9.31</v>
      </c>
    </row>
    <row r="18" customFormat="false" ht="15" hidden="false" customHeight="false" outlineLevel="0" collapsed="false">
      <c r="B18" s="15" t="s">
        <v>333</v>
      </c>
      <c r="G18" s="42" t="n">
        <f aca="false">QUARTILE(G8:G16,1)</f>
        <v>12.16</v>
      </c>
      <c r="H18" s="42" t="n">
        <f aca="false">QUARTILE(H8:H16,1)</f>
        <v>12.35</v>
      </c>
      <c r="I18" s="42" t="n">
        <f aca="false">QUARTILE(I8:I16,1)</f>
        <v>8.97</v>
      </c>
    </row>
    <row r="19" customFormat="false" ht="15" hidden="false" customHeight="false" outlineLevel="0" collapsed="false">
      <c r="B19" s="18" t="s">
        <v>334</v>
      </c>
      <c r="C19" s="24"/>
      <c r="D19" s="24"/>
      <c r="E19" s="24"/>
      <c r="F19" s="24"/>
      <c r="G19" s="43" t="n">
        <f aca="false">QUARTILE(G8:G16,3)</f>
        <v>18.79</v>
      </c>
      <c r="H19" s="43" t="n">
        <f aca="false">QUARTILE(H8:H16,3)</f>
        <v>23.57</v>
      </c>
      <c r="I19" s="43" t="n">
        <f aca="false">QUARTILE(I8:I16,3)</f>
        <v>10.8</v>
      </c>
      <c r="J19" s="24"/>
      <c r="K19" s="24"/>
    </row>
    <row r="21" customFormat="false" ht="28.35" hidden="false" customHeight="false" outlineLevel="0" collapsed="false">
      <c r="B21" s="18" t="s">
        <v>335</v>
      </c>
      <c r="C21" s="22" t="s">
        <v>313</v>
      </c>
      <c r="D21" s="22" t="s">
        <v>307</v>
      </c>
      <c r="E21" s="33" t="n">
        <f aca="false">Inputs!$C$53*Inputs!$C$56/1000</f>
        <v>23.09354414596</v>
      </c>
      <c r="F21" s="33" t="n">
        <f aca="false">E21+(Historicals!$E$79+Historicals!$E$77+Historicals!$E$80-Historicals!$E$64-Historicals!$E$65)/1000</f>
        <v>25.89454414596</v>
      </c>
      <c r="G21" s="36" t="n">
        <f aca="false">Inputs!$C$53/AVERAGE('Market Data'!$C$18,'Market Data'!$D$18)</f>
        <v>14.7541401273885</v>
      </c>
      <c r="H21" s="36" t="n">
        <f aca="false">F21*1000/Historicals!$E$29</f>
        <v>13.8785208200021</v>
      </c>
      <c r="I21" s="36" t="n">
        <f aca="false">F21*1000/(Historicals!$E$29+Historicals!$E$90+Historicals!$E$91)</f>
        <v>12.4313702092943</v>
      </c>
      <c r="J21" s="20" t="n">
        <f aca="false">Historicals!$E$29/Historicals!$E$26</f>
        <v>0.233528587163312</v>
      </c>
      <c r="K21" s="7" t="s">
        <v>336</v>
      </c>
    </row>
    <row r="23" customFormat="false" ht="15" hidden="false" customHeight="false" outlineLevel="0" collapsed="false">
      <c r="B23" s="11" t="s">
        <v>337</v>
      </c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B24" s="3" t="s">
        <v>66</v>
      </c>
      <c r="C24" s="3" t="s">
        <v>338</v>
      </c>
      <c r="D24" s="3" t="s">
        <v>339</v>
      </c>
      <c r="E24" s="3" t="s">
        <v>340</v>
      </c>
      <c r="F24" s="3"/>
      <c r="G24" s="3"/>
      <c r="H24" s="3"/>
      <c r="I24" s="3"/>
      <c r="J24" s="3"/>
      <c r="K24" s="3" t="s">
        <v>69</v>
      </c>
    </row>
    <row r="25" customFormat="false" ht="15" hidden="false" customHeight="false" outlineLevel="0" collapsed="false">
      <c r="B25" s="13" t="s">
        <v>341</v>
      </c>
      <c r="C25" s="41" t="n">
        <f aca="false">G18</f>
        <v>12.16</v>
      </c>
      <c r="D25" s="14" t="n">
        <f aca="false">AVERAGE('Market Data'!$C$18,'Market Data'!$D$18)</f>
        <v>7.85</v>
      </c>
      <c r="E25" s="14" t="n">
        <f aca="false">C25*D25</f>
        <v>95.456</v>
      </c>
      <c r="K25" s="5" t="s">
        <v>342</v>
      </c>
    </row>
    <row r="26" customFormat="false" ht="15" hidden="false" customHeight="false" outlineLevel="0" collapsed="false">
      <c r="B26" s="13" t="s">
        <v>343</v>
      </c>
      <c r="C26" s="41" t="n">
        <f aca="false">G17</f>
        <v>16.47</v>
      </c>
      <c r="D26" s="14" t="n">
        <f aca="false">AVERAGE('Market Data'!$C$18,'Market Data'!$D$18)</f>
        <v>7.85</v>
      </c>
      <c r="E26" s="14" t="n">
        <f aca="false">C26*D26</f>
        <v>129.2895</v>
      </c>
      <c r="K26" s="5" t="s">
        <v>342</v>
      </c>
    </row>
    <row r="27" customFormat="false" ht="15" hidden="false" customHeight="false" outlineLevel="0" collapsed="false">
      <c r="B27" s="13" t="s">
        <v>344</v>
      </c>
      <c r="C27" s="41" t="n">
        <f aca="false">G19</f>
        <v>18.79</v>
      </c>
      <c r="D27" s="14" t="n">
        <f aca="false">AVERAGE('Market Data'!$C$18,'Market Data'!$D$18)</f>
        <v>7.85</v>
      </c>
      <c r="E27" s="14" t="n">
        <f aca="false">C27*D27</f>
        <v>147.5015</v>
      </c>
      <c r="K27" s="5" t="s">
        <v>342</v>
      </c>
    </row>
    <row r="28" customFormat="false" ht="15" hidden="false" customHeight="false" outlineLevel="0" collapsed="false">
      <c r="B28" s="13" t="s">
        <v>345</v>
      </c>
      <c r="C28" s="41" t="n">
        <f aca="false">H18</f>
        <v>12.35</v>
      </c>
      <c r="D28" s="21" t="n">
        <f aca="false">Historicals!$E$29</f>
        <v>1865.8</v>
      </c>
      <c r="E28" s="14" t="n">
        <f aca="false">(C28*D28-(Historicals!$E$79+Historicals!$E$77+Historicals!$E$80-Historicals!$E$64-Historicals!$E$65))/(Inputs!$C$56+Inputs!$C$57)</f>
        <v>98.4554929309931</v>
      </c>
      <c r="K28" s="5" t="s">
        <v>346</v>
      </c>
    </row>
    <row r="29" customFormat="false" ht="15" hidden="false" customHeight="false" outlineLevel="0" collapsed="false">
      <c r="B29" s="13" t="s">
        <v>347</v>
      </c>
      <c r="C29" s="41" t="n">
        <f aca="false">H17</f>
        <v>13.22</v>
      </c>
      <c r="D29" s="21" t="n">
        <f aca="false">Historicals!$E$29</f>
        <v>1865.8</v>
      </c>
      <c r="E29" s="14" t="n">
        <f aca="false">(C29*D29-(Historicals!$E$79+Historicals!$E$77+Historicals!$E$80-Historicals!$E$64-Historicals!$E$65))/(Inputs!$C$56+Inputs!$C$57)</f>
        <v>106.350977883453</v>
      </c>
      <c r="K29" s="5" t="s">
        <v>346</v>
      </c>
    </row>
    <row r="30" customFormat="false" ht="15" hidden="false" customHeight="false" outlineLevel="0" collapsed="false">
      <c r="B30" s="22" t="s">
        <v>348</v>
      </c>
      <c r="C30" s="36" t="n">
        <f aca="false">H19</f>
        <v>23.57</v>
      </c>
      <c r="D30" s="31" t="n">
        <f aca="false">Historicals!$E$29</f>
        <v>1865.8</v>
      </c>
      <c r="E30" s="25" t="n">
        <f aca="false">(C30*D30-(Historicals!$E$79+Historicals!$E$77+Historicals!$E$80-Historicals!$E$64-Historicals!$E$65))/(Inputs!$C$56+Inputs!$C$57)</f>
        <v>200.280023007546</v>
      </c>
      <c r="F30" s="24"/>
      <c r="G30" s="24"/>
      <c r="H30" s="24"/>
      <c r="I30" s="24"/>
      <c r="J30" s="24"/>
      <c r="K30" s="7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8" min="8" style="0" width="50"/>
  </cols>
  <sheetData>
    <row r="2" customFormat="false" ht="15" hidden="false" customHeight="false" outlineLevel="0" collapsed="false">
      <c r="B2" s="8" t="s">
        <v>349</v>
      </c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B3" s="10" t="s">
        <v>350</v>
      </c>
    </row>
    <row r="5" customFormat="false" ht="15" hidden="false" customHeight="false" outlineLevel="0" collapsed="false">
      <c r="B5" s="11" t="s">
        <v>351</v>
      </c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B6" s="10" t="s">
        <v>352</v>
      </c>
    </row>
    <row r="7" customFormat="false" ht="15" hidden="false" customHeight="false" outlineLevel="0" collapsed="false">
      <c r="B7" s="3" t="s">
        <v>353</v>
      </c>
      <c r="C7" s="3" t="s">
        <v>354</v>
      </c>
      <c r="D7" s="3" t="s">
        <v>355</v>
      </c>
      <c r="E7" s="3" t="s">
        <v>84</v>
      </c>
      <c r="F7" s="3" t="s">
        <v>356</v>
      </c>
      <c r="G7" s="3" t="s">
        <v>357</v>
      </c>
    </row>
    <row r="8" customFormat="false" ht="15" hidden="false" customHeight="false" outlineLevel="0" collapsed="false">
      <c r="B8" s="15" t="s">
        <v>358</v>
      </c>
      <c r="C8" s="37" t="n">
        <f aca="false">WACC!$C$27+(-0.01)</f>
        <v>0.0973195238911373</v>
      </c>
      <c r="D8" s="37" t="n">
        <f aca="false">WACC!$C$27+(-0.005)</f>
        <v>0.102319523891137</v>
      </c>
      <c r="E8" s="37" t="n">
        <f aca="false">WACC!$C$27+(0)</f>
        <v>0.107319523891137</v>
      </c>
      <c r="F8" s="37" t="n">
        <f aca="false">WACC!$C$27+(0.005)</f>
        <v>0.112319523891137</v>
      </c>
      <c r="G8" s="37" t="n">
        <f aca="false">WACC!$C$27+(0.01)</f>
        <v>0.117319523891137</v>
      </c>
    </row>
    <row r="9" customFormat="false" ht="15" hidden="false" customHeight="false" outlineLevel="0" collapsed="false">
      <c r="B9" s="44" t="n">
        <v>0.02</v>
      </c>
      <c r="C9" s="14" t="n">
        <f aca="false">(SUMPRODUCT(Base!$E$82:$I$82,1/(1+C$8)^Base!$E$83:$I$83)+Base!$I$80*(1+$B9)/(C$8-$B9)/(1+C$8)^(WACC!$C$28+4)-Historicals!$E$79+Historicals!$E$64+Historicals!$E$65)/Base!$D$96</f>
        <v>107.916995265886</v>
      </c>
      <c r="D9" s="14" t="n">
        <f aca="false">(SUMPRODUCT(Base!$E$82:$I$82,1/(1+D$8)^Base!$E$83:$I$83)+Base!$I$80*(1+$B9)/(D$8-$B9)/(1+D$8)^(WACC!$C$28+4)-Historicals!$E$79+Historicals!$E$64+Historicals!$E$65)/Base!$D$96</f>
        <v>101.061002321184</v>
      </c>
      <c r="E9" s="14" t="n">
        <f aca="false">(SUMPRODUCT(Base!$E$82:$I$82,1/(1+E$8)^Base!$E$83:$I$83)+Base!$I$80*(1+$B9)/(E$8-$B9)/(1+E$8)^(WACC!$C$28+4)-Historicals!$E$79+Historicals!$E$64+Historicals!$E$65)/Base!$D$96</f>
        <v>94.9961280033058</v>
      </c>
      <c r="F9" s="14" t="n">
        <f aca="false">(SUMPRODUCT(Base!$E$82:$I$82,1/(1+F$8)^Base!$E$83:$I$83)+Base!$I$80*(1+$B9)/(F$8-$B9)/(1+F$8)^(WACC!$C$28+4)-Historicals!$E$79+Historicals!$E$64+Historicals!$E$65)/Base!$D$96</f>
        <v>89.5935918526496</v>
      </c>
      <c r="G9" s="14" t="n">
        <f aca="false">(SUMPRODUCT(Base!$E$82:$I$82,1/(1+G$8)^Base!$E$83:$I$83)+Base!$I$80*(1+$B9)/(G$8-$B9)/(1+G$8)^(WACC!$C$28+4)-Historicals!$E$79+Historicals!$E$64+Historicals!$E$65)/Base!$D$96</f>
        <v>84.7510884742581</v>
      </c>
    </row>
    <row r="10" customFormat="false" ht="15" hidden="false" customHeight="false" outlineLevel="0" collapsed="false">
      <c r="B10" s="44" t="n">
        <v>0.025</v>
      </c>
      <c r="C10" s="14" t="n">
        <f aca="false">(SUMPRODUCT(Base!$E$82:$I$82,1/(1+C$8)^Base!$E$83:$I$83)+Base!$I$80*(1+$B10)/(C$8-$B10)/(1+C$8)^(WACC!$C$28+4)-Historicals!$E$79+Historicals!$E$64+Historicals!$E$65)/Base!$D$96</f>
        <v>113.916311071698</v>
      </c>
      <c r="D10" s="14" t="n">
        <f aca="false">(SUMPRODUCT(Base!$E$82:$I$82,1/(1+D$8)^Base!$E$83:$I$83)+Base!$I$80*(1+$B10)/(D$8-$B10)/(1+D$8)^(WACC!$C$28+4)-Historicals!$E$79+Historicals!$E$64+Historicals!$E$65)/Base!$D$96</f>
        <v>106.242813235498</v>
      </c>
      <c r="E10" s="14" t="n">
        <f aca="false">(SUMPRODUCT(Base!$E$82:$I$82,1/(1+E$8)^Base!$E$83:$I$83)+Base!$I$80*(1+$B10)/(E$8-$B10)/(1+E$8)^(WACC!$C$28+4)-Historicals!$E$79+Historicals!$E$64+Historicals!$E$65)/Base!$D$96</f>
        <v>99.507616657767</v>
      </c>
      <c r="F10" s="14" t="n">
        <f aca="false">(SUMPRODUCT(Base!$E$82:$I$82,1/(1+F$8)^Base!$E$83:$I$83)+Base!$I$80*(1+$B10)/(F$8-$B10)/(1+F$8)^(WACC!$C$28+4)-Historicals!$E$79+Historicals!$E$64+Historicals!$E$65)/Base!$D$96</f>
        <v>93.5492861915244</v>
      </c>
      <c r="G10" s="14" t="n">
        <f aca="false">(SUMPRODUCT(Base!$E$82:$I$82,1/(1+G$8)^Base!$E$83:$I$83)+Base!$I$80*(1+$B10)/(G$8-$B10)/(1+G$8)^(WACC!$C$28+4)-Historicals!$E$79+Historicals!$E$64+Historicals!$E$65)/Base!$D$96</f>
        <v>88.241369861803</v>
      </c>
    </row>
    <row r="11" customFormat="false" ht="15" hidden="false" customHeight="false" outlineLevel="0" collapsed="false">
      <c r="B11" s="44" t="n">
        <v>0.03</v>
      </c>
      <c r="C11" s="14" t="n">
        <f aca="false">(SUMPRODUCT(Base!$E$82:$I$82,1/(1+C$8)^Base!$E$83:$I$83)+Base!$I$80*(1+$B11)/(C$8-$B11)/(1+C$8)^(WACC!$C$28+4)-Historicals!$E$79+Historicals!$E$64+Historicals!$E$65)/Base!$D$96</f>
        <v>120.806797144179</v>
      </c>
      <c r="D11" s="14" t="n">
        <f aca="false">(SUMPRODUCT(Base!$E$82:$I$82,1/(1+D$8)^Base!$E$83:$I$83)+Base!$I$80*(1+$B11)/(D$8-$B11)/(1+D$8)^(WACC!$C$28+4)-Historicals!$E$79+Historicals!$E$64+Historicals!$E$65)/Base!$D$96</f>
        <v>112.14114033182</v>
      </c>
      <c r="E11" s="14" t="n">
        <f aca="false">(SUMPRODUCT(Base!$E$82:$I$82,1/(1+E$8)^Base!$E$83:$I$83)+Base!$I$80*(1+$B11)/(E$8-$B11)/(1+E$8)^(WACC!$C$28+4)-Historicals!$E$79+Historicals!$E$64+Historicals!$E$65)/Base!$D$96</f>
        <v>104.602591659197</v>
      </c>
      <c r="F11" s="14" t="n">
        <f aca="false">(SUMPRODUCT(Base!$E$82:$I$82,1/(1+F$8)^Base!$E$83:$I$83)+Base!$I$80*(1+$B11)/(F$8-$B11)/(1+F$8)^(WACC!$C$28+4)-Historicals!$E$79+Historicals!$E$64+Historicals!$E$65)/Base!$D$96</f>
        <v>97.9855098327925</v>
      </c>
      <c r="G11" s="14" t="n">
        <f aca="false">(SUMPRODUCT(Base!$E$82:$I$82,1/(1+G$8)^Base!$E$83:$I$83)+Base!$I$80*(1+$B11)/(G$8-$B11)/(1+G$8)^(WACC!$C$28+4)-Historicals!$E$79+Historicals!$E$64+Historicals!$E$65)/Base!$D$96</f>
        <v>92.1313649939964</v>
      </c>
      <c r="H11" s="5" t="s">
        <v>359</v>
      </c>
    </row>
    <row r="12" customFormat="false" ht="15" hidden="false" customHeight="false" outlineLevel="0" collapsed="false">
      <c r="B12" s="44" t="n">
        <v>0.035</v>
      </c>
      <c r="C12" s="14" t="n">
        <f aca="false">(SUMPRODUCT(Base!$E$82:$I$82,1/(1+C$8)^Base!$E$83:$I$83)+Base!$I$80*(1+$B12)/(C$8-$B12)/(1+C$8)^(WACC!$C$28+4)-Historicals!$E$79+Historicals!$E$64+Historicals!$E$65)/Base!$D$96</f>
        <v>128.802953742082</v>
      </c>
      <c r="D12" s="14" t="n">
        <f aca="false">(SUMPRODUCT(Base!$E$82:$I$82,1/(1+D$8)^Base!$E$83:$I$83)+Base!$I$80*(1+$B12)/(D$8-$B12)/(1+D$8)^(WACC!$C$28+4)-Historicals!$E$79+Historicals!$E$64+Historicals!$E$65)/Base!$D$96</f>
        <v>118.915636294971</v>
      </c>
      <c r="E12" s="14" t="n">
        <f aca="false">(SUMPRODUCT(Base!$E$82:$I$82,1/(1+E$8)^Base!$E$83:$I$83)+Base!$I$80*(1+$B12)/(E$8-$B12)/(1+E$8)^(WACC!$C$28+4)-Historicals!$E$79+Historicals!$E$64+Historicals!$E$65)/Base!$D$96</f>
        <v>110.402075585368</v>
      </c>
      <c r="F12" s="14" t="n">
        <f aca="false">(SUMPRODUCT(Base!$E$82:$I$82,1/(1+F$8)^Base!$E$83:$I$83)+Base!$I$80*(1+$B12)/(F$8-$B12)/(1+F$8)^(WACC!$C$28+4)-Historicals!$E$79+Historicals!$E$64+Historicals!$E$65)/Base!$D$96</f>
        <v>102.995485537965</v>
      </c>
      <c r="G12" s="14" t="n">
        <f aca="false">(SUMPRODUCT(Base!$E$82:$I$82,1/(1+G$8)^Base!$E$83:$I$83)+Base!$I$80*(1+$B12)/(G$8-$B12)/(1+G$8)^(WACC!$C$28+4)-Historicals!$E$79+Historicals!$E$64+Historicals!$E$65)/Base!$D$96</f>
        <v>96.4939084292312</v>
      </c>
    </row>
    <row r="13" customFormat="false" ht="15" hidden="false" customHeight="false" outlineLevel="0" collapsed="false">
      <c r="B13" s="45" t="n">
        <v>0.04</v>
      </c>
      <c r="C13" s="25" t="n">
        <f aca="false">(SUMPRODUCT(Base!$E$82:$I$82,1/(1+C$8)^Base!$E$83:$I$83)+Base!$I$80*(1+$B13)/(C$8-$B13)/(1+C$8)^(WACC!$C$28+4)-Historicals!$E$79+Historicals!$E$64+Historicals!$E$65)/Base!$D$96</f>
        <v>138.194124822851</v>
      </c>
      <c r="D13" s="25" t="n">
        <f aca="false">(SUMPRODUCT(Base!$E$82:$I$82,1/(1+D$8)^Base!$E$83:$I$83)+Base!$I$80*(1+$B13)/(D$8-$B13)/(1+D$8)^(WACC!$C$28+4)-Historicals!$E$79+Historicals!$E$64+Historicals!$E$65)/Base!$D$96</f>
        <v>126.777190621243</v>
      </c>
      <c r="E13" s="25" t="n">
        <f aca="false">(SUMPRODUCT(Base!$E$82:$I$82,1/(1+E$8)^Base!$E$83:$I$83)+Base!$I$80*(1+$B13)/(E$8-$B13)/(1+E$8)^(WACC!$C$28+4)-Historicals!$E$79+Historicals!$E$64+Historicals!$E$65)/Base!$D$96</f>
        <v>117.06304568835</v>
      </c>
      <c r="F13" s="25" t="n">
        <f aca="false">(SUMPRODUCT(Base!$E$82:$I$82,1/(1+F$8)^Base!$E$83:$I$83)+Base!$I$80*(1+$B13)/(F$8-$B13)/(1+F$8)^(WACC!$C$28+4)-Historicals!$E$79+Historicals!$E$64+Historicals!$E$65)/Base!$D$96</f>
        <v>108.698216869228</v>
      </c>
      <c r="G13" s="25" t="n">
        <f aca="false">(SUMPRODUCT(Base!$E$82:$I$82,1/(1+G$8)^Base!$E$83:$I$83)+Base!$I$80*(1+$B13)/(G$8-$B13)/(1+G$8)^(WACC!$C$28+4)-Historicals!$E$79+Historicals!$E$64+Historicals!$E$65)/Base!$D$96</f>
        <v>101.420674613869</v>
      </c>
      <c r="H13" s="24"/>
    </row>
    <row r="15" customFormat="false" ht="28.35" hidden="false" customHeight="false" outlineLevel="0" collapsed="false">
      <c r="B15" s="15" t="s">
        <v>360</v>
      </c>
      <c r="H15" s="5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4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64"/>
  </cols>
  <sheetData>
    <row r="2" customFormat="false" ht="15" hidden="false" customHeight="false" outlineLevel="0" collapsed="false">
      <c r="B2" s="8" t="s">
        <v>362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363</v>
      </c>
    </row>
    <row r="5" customFormat="false" ht="15" hidden="false" customHeight="false" outlineLevel="0" collapsed="false">
      <c r="B5" s="11" t="s">
        <v>364</v>
      </c>
      <c r="C5" s="12"/>
      <c r="D5" s="12"/>
      <c r="E5" s="12"/>
      <c r="F5" s="12"/>
      <c r="G5" s="12"/>
    </row>
    <row r="6" customFormat="false" ht="15" hidden="false" customHeight="false" outlineLevel="0" collapsed="false">
      <c r="B6" s="3" t="s">
        <v>184</v>
      </c>
      <c r="C6" s="3" t="s">
        <v>365</v>
      </c>
      <c r="D6" s="3" t="s">
        <v>366</v>
      </c>
      <c r="E6" s="3" t="s">
        <v>367</v>
      </c>
      <c r="F6" s="3" t="s">
        <v>104</v>
      </c>
      <c r="G6" s="3" t="s">
        <v>368</v>
      </c>
    </row>
    <row r="7" customFormat="false" ht="15" hidden="false" customHeight="false" outlineLevel="0" collapsed="false">
      <c r="B7" s="13" t="s">
        <v>189</v>
      </c>
      <c r="C7" s="21" t="n">
        <v>6671.2</v>
      </c>
      <c r="D7" s="21" t="n">
        <v>7010.7</v>
      </c>
      <c r="E7" s="21" t="n">
        <v>8004.2</v>
      </c>
      <c r="F7" s="13" t="s">
        <v>128</v>
      </c>
      <c r="G7" s="5" t="s">
        <v>369</v>
      </c>
    </row>
    <row r="8" customFormat="false" ht="15" hidden="false" customHeight="false" outlineLevel="0" collapsed="false">
      <c r="B8" s="13" t="s">
        <v>190</v>
      </c>
      <c r="C8" s="21" t="n">
        <v>1781.7</v>
      </c>
      <c r="D8" s="21" t="n">
        <v>1721.8</v>
      </c>
      <c r="E8" s="21" t="n">
        <v>1775.2</v>
      </c>
      <c r="F8" s="13" t="s">
        <v>128</v>
      </c>
      <c r="G8" s="5" t="s">
        <v>370</v>
      </c>
    </row>
    <row r="9" customFormat="false" ht="15" hidden="false" customHeight="false" outlineLevel="0" collapsed="false">
      <c r="B9" s="13" t="s">
        <v>191</v>
      </c>
      <c r="C9" s="21" t="n">
        <v>4889.5</v>
      </c>
      <c r="D9" s="21" t="n">
        <v>5288.9</v>
      </c>
      <c r="E9" s="21" t="n">
        <v>6229</v>
      </c>
      <c r="F9" s="13" t="s">
        <v>128</v>
      </c>
      <c r="G9" s="5" t="s">
        <v>370</v>
      </c>
    </row>
    <row r="10" customFormat="false" ht="15" hidden="false" customHeight="false" outlineLevel="0" collapsed="false">
      <c r="B10" s="13" t="s">
        <v>371</v>
      </c>
      <c r="C10" s="21" t="n">
        <v>3749.4</v>
      </c>
      <c r="D10" s="21" t="n">
        <v>4019.1</v>
      </c>
      <c r="E10" s="21" t="n">
        <v>4314.6</v>
      </c>
      <c r="F10" s="13" t="s">
        <v>128</v>
      </c>
      <c r="G10" s="5" t="s">
        <v>370</v>
      </c>
    </row>
    <row r="11" customFormat="false" ht="15" hidden="false" customHeight="false" outlineLevel="0" collapsed="false">
      <c r="B11" s="13" t="s">
        <v>372</v>
      </c>
      <c r="C11" s="21" t="n">
        <v>0</v>
      </c>
      <c r="D11" s="21" t="n">
        <v>854.8</v>
      </c>
      <c r="E11" s="21" t="n">
        <v>0</v>
      </c>
      <c r="F11" s="13" t="s">
        <v>128</v>
      </c>
      <c r="G11" s="5" t="s">
        <v>373</v>
      </c>
    </row>
    <row r="12" customFormat="false" ht="15" hidden="false" customHeight="false" outlineLevel="0" collapsed="false">
      <c r="B12" s="13" t="s">
        <v>374</v>
      </c>
      <c r="C12" s="21" t="n">
        <v>1140.1</v>
      </c>
      <c r="D12" s="21" t="n">
        <v>415</v>
      </c>
      <c r="E12" s="21" t="n">
        <v>1914.4</v>
      </c>
      <c r="F12" s="13" t="s">
        <v>128</v>
      </c>
      <c r="G12" s="5" t="s">
        <v>370</v>
      </c>
    </row>
    <row r="13" customFormat="false" ht="15" hidden="false" customHeight="false" outlineLevel="0" collapsed="false">
      <c r="B13" s="13" t="s">
        <v>375</v>
      </c>
      <c r="C13" s="21" t="n">
        <v>0</v>
      </c>
      <c r="D13" s="21" t="n">
        <v>120.1</v>
      </c>
      <c r="E13" s="21" t="n">
        <v>0</v>
      </c>
      <c r="F13" s="13" t="s">
        <v>128</v>
      </c>
      <c r="G13" s="5" t="s">
        <v>370</v>
      </c>
    </row>
    <row r="14" customFormat="false" ht="15" hidden="false" customHeight="false" outlineLevel="0" collapsed="false">
      <c r="B14" s="13" t="s">
        <v>376</v>
      </c>
      <c r="C14" s="21" t="n">
        <v>125</v>
      </c>
      <c r="D14" s="21" t="n">
        <v>85.4</v>
      </c>
      <c r="E14" s="21" t="n">
        <v>55.2</v>
      </c>
      <c r="F14" s="13" t="s">
        <v>128</v>
      </c>
      <c r="G14" s="5" t="s">
        <v>370</v>
      </c>
    </row>
    <row r="15" customFormat="false" ht="15" hidden="false" customHeight="false" outlineLevel="0" collapsed="false">
      <c r="B15" s="13" t="s">
        <v>377</v>
      </c>
      <c r="C15" s="21" t="n">
        <v>3.2</v>
      </c>
      <c r="D15" s="21" t="n">
        <v>-6.6</v>
      </c>
      <c r="E15" s="21" t="n">
        <v>-1.4</v>
      </c>
      <c r="F15" s="13" t="s">
        <v>128</v>
      </c>
      <c r="G15" s="5" t="s">
        <v>370</v>
      </c>
    </row>
    <row r="16" customFormat="false" ht="15" hidden="false" customHeight="false" outlineLevel="0" collapsed="false">
      <c r="B16" s="13" t="s">
        <v>201</v>
      </c>
      <c r="C16" s="21" t="n">
        <v>1011.9</v>
      </c>
      <c r="D16" s="21" t="n">
        <v>216.1</v>
      </c>
      <c r="E16" s="21" t="n">
        <v>1860.6</v>
      </c>
      <c r="F16" s="13" t="s">
        <v>128</v>
      </c>
      <c r="G16" s="5" t="s">
        <v>370</v>
      </c>
    </row>
    <row r="17" customFormat="false" ht="15" hidden="false" customHeight="false" outlineLevel="0" collapsed="false">
      <c r="B17" s="13" t="s">
        <v>378</v>
      </c>
      <c r="C17" s="21" t="n">
        <v>195.9</v>
      </c>
      <c r="D17" s="21" t="n">
        <v>32.9</v>
      </c>
      <c r="E17" s="21" t="n">
        <v>332.9</v>
      </c>
      <c r="F17" s="13" t="s">
        <v>128</v>
      </c>
      <c r="G17" s="5" t="s">
        <v>370</v>
      </c>
    </row>
    <row r="18" customFormat="false" ht="15" hidden="false" customHeight="false" outlineLevel="0" collapsed="false">
      <c r="B18" s="15" t="s">
        <v>227</v>
      </c>
      <c r="C18" s="21" t="n">
        <v>816</v>
      </c>
      <c r="D18" s="21" t="n">
        <v>183.2</v>
      </c>
      <c r="E18" s="21" t="n">
        <v>1527.7</v>
      </c>
      <c r="F18" s="13" t="s">
        <v>128</v>
      </c>
      <c r="G18" s="5" t="s">
        <v>370</v>
      </c>
    </row>
    <row r="19" customFormat="false" ht="15" hidden="false" customHeight="false" outlineLevel="0" collapsed="false">
      <c r="B19" s="13" t="s">
        <v>379</v>
      </c>
      <c r="C19" s="14" t="n">
        <v>3.5</v>
      </c>
      <c r="D19" s="14" t="n">
        <v>0.82</v>
      </c>
      <c r="E19" s="14" t="n">
        <v>7.27</v>
      </c>
      <c r="F19" s="13" t="s">
        <v>142</v>
      </c>
      <c r="G19" s="5" t="s">
        <v>370</v>
      </c>
    </row>
    <row r="20" customFormat="false" ht="15" hidden="false" customHeight="false" outlineLevel="0" collapsed="false">
      <c r="B20" s="13" t="s">
        <v>263</v>
      </c>
      <c r="C20" s="26" t="n">
        <v>233.2</v>
      </c>
      <c r="D20" s="26" t="n">
        <v>222.5</v>
      </c>
      <c r="E20" s="26" t="n">
        <v>210.2</v>
      </c>
      <c r="F20" s="13" t="s">
        <v>167</v>
      </c>
      <c r="G20" s="5" t="s">
        <v>370</v>
      </c>
    </row>
    <row r="21" customFormat="false" ht="15" hidden="false" customHeight="false" outlineLevel="0" collapsed="false">
      <c r="B21" s="22" t="s">
        <v>380</v>
      </c>
      <c r="C21" s="33" t="n">
        <v>229.2</v>
      </c>
      <c r="D21" s="33" t="n">
        <v>216.8</v>
      </c>
      <c r="E21" s="33" t="n">
        <v>204</v>
      </c>
      <c r="F21" s="22" t="s">
        <v>167</v>
      </c>
      <c r="G21" s="7" t="s">
        <v>370</v>
      </c>
    </row>
    <row r="23" customFormat="false" ht="15" hidden="false" customHeight="false" outlineLevel="0" collapsed="false">
      <c r="B23" s="11" t="s">
        <v>381</v>
      </c>
      <c r="C23" s="12"/>
      <c r="D23" s="12"/>
      <c r="E23" s="12"/>
      <c r="F23" s="12"/>
      <c r="G23" s="12"/>
    </row>
    <row r="24" customFormat="false" ht="15" hidden="false" customHeight="false" outlineLevel="0" collapsed="false">
      <c r="B24" s="10" t="s">
        <v>382</v>
      </c>
    </row>
    <row r="25" customFormat="false" ht="15" hidden="false" customHeight="false" outlineLevel="0" collapsed="false">
      <c r="B25" s="3" t="s">
        <v>184</v>
      </c>
      <c r="C25" s="3"/>
      <c r="D25" s="3" t="s">
        <v>366</v>
      </c>
      <c r="E25" s="3" t="s">
        <v>367</v>
      </c>
      <c r="F25" s="3" t="s">
        <v>104</v>
      </c>
      <c r="G25" s="3" t="s">
        <v>368</v>
      </c>
    </row>
    <row r="26" customFormat="false" ht="28.35" hidden="false" customHeight="false" outlineLevel="0" collapsed="false">
      <c r="B26" s="13" t="s">
        <v>383</v>
      </c>
      <c r="D26" s="21" t="n">
        <v>7010.7</v>
      </c>
      <c r="E26" s="21" t="n">
        <v>7989.6</v>
      </c>
      <c r="F26" s="13" t="s">
        <v>128</v>
      </c>
      <c r="G26" s="5" t="s">
        <v>384</v>
      </c>
    </row>
    <row r="27" customFormat="false" ht="28.35" hidden="false" customHeight="false" outlineLevel="0" collapsed="false">
      <c r="B27" s="13" t="s">
        <v>191</v>
      </c>
      <c r="D27" s="21" t="n">
        <v>5288.9</v>
      </c>
      <c r="E27" s="21" t="n">
        <v>6123.1</v>
      </c>
      <c r="F27" s="13" t="s">
        <v>128</v>
      </c>
      <c r="G27" s="5" t="s">
        <v>384</v>
      </c>
    </row>
    <row r="28" customFormat="false" ht="28.35" hidden="false" customHeight="false" outlineLevel="0" collapsed="false">
      <c r="B28" s="13" t="s">
        <v>371</v>
      </c>
      <c r="D28" s="21" t="n">
        <v>3889.4</v>
      </c>
      <c r="E28" s="21" t="n">
        <v>4257.3</v>
      </c>
      <c r="F28" s="13" t="s">
        <v>128</v>
      </c>
      <c r="G28" s="5" t="s">
        <v>384</v>
      </c>
    </row>
    <row r="29" customFormat="false" ht="28.35" hidden="false" customHeight="false" outlineLevel="0" collapsed="false">
      <c r="B29" s="13" t="s">
        <v>195</v>
      </c>
      <c r="D29" s="21" t="n">
        <v>1399.5</v>
      </c>
      <c r="E29" s="21" t="n">
        <v>1865.8</v>
      </c>
      <c r="F29" s="13" t="s">
        <v>128</v>
      </c>
      <c r="G29" s="5" t="s">
        <v>384</v>
      </c>
    </row>
    <row r="30" customFormat="false" ht="28.35" hidden="false" customHeight="false" outlineLevel="0" collapsed="false">
      <c r="B30" s="13" t="s">
        <v>376</v>
      </c>
      <c r="D30" s="21" t="n">
        <v>25.2</v>
      </c>
      <c r="E30" s="21" t="n">
        <v>55.3</v>
      </c>
      <c r="F30" s="13" t="s">
        <v>128</v>
      </c>
      <c r="G30" s="5" t="s">
        <v>384</v>
      </c>
    </row>
    <row r="31" customFormat="false" ht="28.35" hidden="false" customHeight="false" outlineLevel="0" collapsed="false">
      <c r="B31" s="13" t="s">
        <v>377</v>
      </c>
      <c r="E31" s="21" t="n">
        <v>-1.5</v>
      </c>
      <c r="F31" s="13" t="s">
        <v>128</v>
      </c>
      <c r="G31" s="5" t="s">
        <v>384</v>
      </c>
    </row>
    <row r="32" customFormat="false" ht="28.35" hidden="false" customHeight="false" outlineLevel="0" collapsed="false">
      <c r="B32" s="13" t="s">
        <v>378</v>
      </c>
      <c r="D32" s="21" t="n">
        <v>246</v>
      </c>
      <c r="E32" s="21" t="n">
        <v>330</v>
      </c>
      <c r="F32" s="13" t="s">
        <v>128</v>
      </c>
      <c r="G32" s="5" t="s">
        <v>384</v>
      </c>
    </row>
    <row r="33" customFormat="false" ht="28.35" hidden="false" customHeight="false" outlineLevel="0" collapsed="false">
      <c r="B33" s="15" t="s">
        <v>227</v>
      </c>
      <c r="D33" s="21" t="n">
        <v>1134.2</v>
      </c>
      <c r="E33" s="21" t="n">
        <v>1482</v>
      </c>
      <c r="F33" s="13" t="s">
        <v>128</v>
      </c>
      <c r="G33" s="5" t="s">
        <v>384</v>
      </c>
    </row>
    <row r="34" customFormat="false" ht="28.35" hidden="false" customHeight="false" outlineLevel="0" collapsed="false">
      <c r="B34" s="22" t="s">
        <v>379</v>
      </c>
      <c r="C34" s="24"/>
      <c r="D34" s="25" t="n">
        <v>5.1</v>
      </c>
      <c r="E34" s="25" t="n">
        <v>7.05</v>
      </c>
      <c r="F34" s="22" t="s">
        <v>142</v>
      </c>
      <c r="G34" s="7" t="s">
        <v>384</v>
      </c>
    </row>
    <row r="36" customFormat="false" ht="15" hidden="false" customHeight="false" outlineLevel="0" collapsed="false">
      <c r="B36" s="11" t="s">
        <v>385</v>
      </c>
      <c r="C36" s="12"/>
      <c r="D36" s="12"/>
      <c r="E36" s="12"/>
      <c r="F36" s="12"/>
      <c r="G36" s="12"/>
    </row>
    <row r="37" customFormat="false" ht="15" hidden="false" customHeight="false" outlineLevel="0" collapsed="false">
      <c r="B37" s="3" t="s">
        <v>386</v>
      </c>
      <c r="C37" s="3" t="s">
        <v>365</v>
      </c>
      <c r="D37" s="3" t="s">
        <v>366</v>
      </c>
      <c r="E37" s="3" t="s">
        <v>367</v>
      </c>
      <c r="F37" s="3" t="s">
        <v>104</v>
      </c>
      <c r="G37" s="3" t="s">
        <v>368</v>
      </c>
    </row>
    <row r="38" customFormat="false" ht="15" hidden="false" customHeight="false" outlineLevel="0" collapsed="false">
      <c r="B38" s="13" t="s">
        <v>387</v>
      </c>
      <c r="C38" s="21" t="n">
        <v>5095.3</v>
      </c>
      <c r="D38" s="21" t="n">
        <v>5598.5</v>
      </c>
      <c r="E38" s="21" t="n">
        <v>6914.7</v>
      </c>
      <c r="F38" s="13" t="s">
        <v>128</v>
      </c>
      <c r="G38" s="5" t="s">
        <v>388</v>
      </c>
    </row>
    <row r="39" customFormat="false" ht="15" hidden="false" customHeight="false" outlineLevel="0" collapsed="false">
      <c r="B39" s="13" t="s">
        <v>389</v>
      </c>
      <c r="C39" s="21" t="n">
        <v>1334.4</v>
      </c>
      <c r="D39" s="21" t="n">
        <v>1197.1</v>
      </c>
      <c r="E39" s="21" t="n">
        <v>1074.9</v>
      </c>
      <c r="F39" s="13" t="s">
        <v>128</v>
      </c>
      <c r="G39" s="5" t="s">
        <v>370</v>
      </c>
    </row>
    <row r="40" customFormat="false" ht="15" hidden="false" customHeight="false" outlineLevel="0" collapsed="false">
      <c r="B40" s="13" t="s">
        <v>390</v>
      </c>
      <c r="C40" s="21" t="n">
        <v>241.5</v>
      </c>
      <c r="D40" s="21" t="n">
        <v>215.1</v>
      </c>
      <c r="E40" s="21" t="n">
        <v>14.6</v>
      </c>
      <c r="F40" s="13" t="s">
        <v>128</v>
      </c>
      <c r="G40" s="5" t="s">
        <v>370</v>
      </c>
    </row>
    <row r="41" customFormat="false" ht="15" hidden="false" customHeight="false" outlineLevel="0" collapsed="false">
      <c r="B41" s="18" t="s">
        <v>391</v>
      </c>
      <c r="C41" s="31" t="n">
        <f aca="false">SUM(C38:C40)</f>
        <v>6671.2</v>
      </c>
      <c r="D41" s="31" t="n">
        <f aca="false">SUM(D38:D40)</f>
        <v>7010.7</v>
      </c>
      <c r="E41" s="31" t="n">
        <f aca="false">SUM(E38:E40)</f>
        <v>8004.2</v>
      </c>
      <c r="F41" s="22" t="s">
        <v>128</v>
      </c>
      <c r="G41" s="7" t="s">
        <v>392</v>
      </c>
    </row>
    <row r="43" customFormat="false" ht="15" hidden="false" customHeight="false" outlineLevel="0" collapsed="false">
      <c r="B43" s="11" t="s">
        <v>393</v>
      </c>
      <c r="C43" s="12"/>
      <c r="D43" s="12"/>
      <c r="E43" s="12"/>
      <c r="F43" s="12"/>
      <c r="G43" s="12"/>
    </row>
    <row r="44" customFormat="false" ht="15" hidden="false" customHeight="false" outlineLevel="0" collapsed="false">
      <c r="B44" s="3" t="s">
        <v>394</v>
      </c>
      <c r="C44" s="3" t="s">
        <v>365</v>
      </c>
      <c r="D44" s="3" t="s">
        <v>366</v>
      </c>
      <c r="E44" s="3" t="s">
        <v>367</v>
      </c>
      <c r="F44" s="3" t="s">
        <v>104</v>
      </c>
      <c r="G44" s="3" t="s">
        <v>368</v>
      </c>
    </row>
    <row r="45" customFormat="false" ht="15" hidden="false" customHeight="false" outlineLevel="0" collapsed="false">
      <c r="B45" s="13" t="s">
        <v>387</v>
      </c>
      <c r="C45" s="21" t="n">
        <v>1651.1</v>
      </c>
      <c r="D45" s="21" t="n">
        <v>1875.3</v>
      </c>
      <c r="E45" s="21" t="n">
        <v>2541.2</v>
      </c>
      <c r="F45" s="13" t="s">
        <v>128</v>
      </c>
      <c r="G45" s="5" t="s">
        <v>388</v>
      </c>
    </row>
    <row r="46" customFormat="false" ht="15" hidden="false" customHeight="false" outlineLevel="0" collapsed="false">
      <c r="B46" s="13" t="s">
        <v>389</v>
      </c>
      <c r="C46" s="21" t="n">
        <v>132.6</v>
      </c>
      <c r="D46" s="21" t="n">
        <v>-769.2</v>
      </c>
      <c r="E46" s="21" t="n">
        <v>-10</v>
      </c>
      <c r="F46" s="13" t="s">
        <v>128</v>
      </c>
      <c r="G46" s="5" t="s">
        <v>395</v>
      </c>
    </row>
    <row r="47" customFormat="false" ht="15" hidden="false" customHeight="false" outlineLevel="0" collapsed="false">
      <c r="B47" s="13" t="s">
        <v>396</v>
      </c>
      <c r="C47" s="21" t="n">
        <v>-21.2</v>
      </c>
      <c r="D47" s="21" t="n">
        <v>-15.4</v>
      </c>
      <c r="E47" s="21" t="n">
        <v>-1</v>
      </c>
      <c r="F47" s="13" t="s">
        <v>128</v>
      </c>
      <c r="G47" s="5" t="s">
        <v>370</v>
      </c>
    </row>
    <row r="48" customFormat="false" ht="15" hidden="false" customHeight="false" outlineLevel="0" collapsed="false">
      <c r="B48" s="13" t="s">
        <v>397</v>
      </c>
      <c r="C48" s="21" t="n">
        <v>-622.4</v>
      </c>
      <c r="D48" s="21" t="n">
        <v>-675.7</v>
      </c>
      <c r="E48" s="21" t="n">
        <v>-615.8</v>
      </c>
      <c r="F48" s="13" t="s">
        <v>128</v>
      </c>
      <c r="G48" s="5" t="s">
        <v>370</v>
      </c>
    </row>
    <row r="49" customFormat="false" ht="15" hidden="false" customHeight="false" outlineLevel="0" collapsed="false">
      <c r="B49" s="18" t="s">
        <v>398</v>
      </c>
      <c r="C49" s="31" t="n">
        <f aca="false">SUM(C45:C48)</f>
        <v>1140.1</v>
      </c>
      <c r="D49" s="31" t="n">
        <f aca="false">SUM(D45:D48)</f>
        <v>415</v>
      </c>
      <c r="E49" s="31" t="n">
        <f aca="false">SUM(E45:E48)</f>
        <v>1914.4</v>
      </c>
      <c r="F49" s="22" t="s">
        <v>128</v>
      </c>
      <c r="G49" s="7" t="s">
        <v>399</v>
      </c>
    </row>
    <row r="51" customFormat="false" ht="15" hidden="false" customHeight="false" outlineLevel="0" collapsed="false">
      <c r="B51" s="11" t="s">
        <v>400</v>
      </c>
      <c r="C51" s="12"/>
      <c r="D51" s="12"/>
      <c r="E51" s="12"/>
      <c r="F51" s="12"/>
      <c r="G51" s="12"/>
    </row>
    <row r="52" customFormat="false" ht="15" hidden="false" customHeight="false" outlineLevel="0" collapsed="false">
      <c r="B52" s="3" t="s">
        <v>184</v>
      </c>
      <c r="C52" s="3" t="s">
        <v>365</v>
      </c>
      <c r="D52" s="3" t="s">
        <v>366</v>
      </c>
      <c r="E52" s="3" t="s">
        <v>367</v>
      </c>
      <c r="F52" s="3" t="s">
        <v>104</v>
      </c>
      <c r="G52" s="3" t="s">
        <v>368</v>
      </c>
    </row>
    <row r="53" customFormat="false" ht="15" hidden="false" customHeight="false" outlineLevel="0" collapsed="false">
      <c r="B53" s="13" t="s">
        <v>401</v>
      </c>
      <c r="C53" s="21" t="n">
        <v>3610.9</v>
      </c>
      <c r="D53" s="21" t="n">
        <v>3846.3</v>
      </c>
      <c r="E53" s="21" t="n">
        <v>4611.2</v>
      </c>
      <c r="F53" s="13" t="s">
        <v>128</v>
      </c>
      <c r="G53" s="5" t="s">
        <v>402</v>
      </c>
    </row>
    <row r="54" customFormat="false" ht="15" hidden="false" customHeight="false" outlineLevel="0" collapsed="false">
      <c r="B54" s="13" t="s">
        <v>403</v>
      </c>
      <c r="C54" s="21" t="n">
        <v>1714.9</v>
      </c>
      <c r="D54" s="21" t="n">
        <v>1809.3</v>
      </c>
      <c r="E54" s="21" t="n">
        <v>2232.9</v>
      </c>
      <c r="F54" s="13" t="s">
        <v>128</v>
      </c>
      <c r="G54" s="5" t="s">
        <v>370</v>
      </c>
    </row>
    <row r="55" customFormat="false" ht="15" hidden="false" customHeight="false" outlineLevel="0" collapsed="false">
      <c r="B55" s="13" t="s">
        <v>404</v>
      </c>
      <c r="C55" s="21" t="n">
        <v>624.9</v>
      </c>
      <c r="D55" s="21" t="n">
        <v>612.8</v>
      </c>
      <c r="E55" s="21" t="n">
        <v>471.2</v>
      </c>
      <c r="F55" s="13" t="s">
        <v>128</v>
      </c>
      <c r="G55" s="5" t="s">
        <v>370</v>
      </c>
    </row>
    <row r="56" customFormat="false" ht="15" hidden="false" customHeight="false" outlineLevel="0" collapsed="false">
      <c r="B56" s="13" t="s">
        <v>405</v>
      </c>
      <c r="C56" s="21" t="n">
        <v>720.5</v>
      </c>
      <c r="D56" s="21" t="n">
        <v>742.3</v>
      </c>
      <c r="E56" s="21" t="n">
        <v>688.9</v>
      </c>
      <c r="F56" s="13" t="s">
        <v>128</v>
      </c>
      <c r="G56" s="5" t="s">
        <v>370</v>
      </c>
    </row>
    <row r="57" customFormat="false" ht="15" hidden="false" customHeight="false" outlineLevel="0" collapsed="false">
      <c r="B57" s="13" t="s">
        <v>406</v>
      </c>
      <c r="C57" s="21" t="n">
        <v>3949.7</v>
      </c>
      <c r="D57" s="21" t="n">
        <v>4208.1</v>
      </c>
      <c r="E57" s="21" t="n">
        <v>4697.4</v>
      </c>
      <c r="F57" s="13" t="s">
        <v>128</v>
      </c>
      <c r="G57" s="5" t="s">
        <v>407</v>
      </c>
    </row>
    <row r="58" customFormat="false" ht="15" hidden="false" customHeight="false" outlineLevel="0" collapsed="false">
      <c r="B58" s="13" t="s">
        <v>408</v>
      </c>
      <c r="C58" s="21" t="n">
        <v>1012.6</v>
      </c>
      <c r="D58" s="21" t="n">
        <v>1059.7</v>
      </c>
      <c r="E58" s="21" t="n">
        <v>1398.7</v>
      </c>
      <c r="F58" s="13" t="s">
        <v>128</v>
      </c>
      <c r="G58" s="5" t="s">
        <v>370</v>
      </c>
    </row>
    <row r="59" customFormat="false" ht="15" hidden="false" customHeight="false" outlineLevel="0" collapsed="false">
      <c r="B59" s="13" t="s">
        <v>409</v>
      </c>
      <c r="C59" s="21" t="n">
        <v>554.4</v>
      </c>
      <c r="D59" s="21" t="n">
        <v>514.8</v>
      </c>
      <c r="E59" s="21" t="n">
        <v>465.7</v>
      </c>
      <c r="F59" s="13" t="s">
        <v>128</v>
      </c>
      <c r="G59" s="5" t="s">
        <v>370</v>
      </c>
    </row>
    <row r="60" customFormat="false" ht="15" hidden="false" customHeight="false" outlineLevel="0" collapsed="false">
      <c r="B60" s="22" t="s">
        <v>405</v>
      </c>
      <c r="C60" s="31" t="n">
        <v>1154.5</v>
      </c>
      <c r="D60" s="31" t="n">
        <v>1228.1</v>
      </c>
      <c r="E60" s="31" t="n">
        <v>1442.4</v>
      </c>
      <c r="F60" s="22" t="s">
        <v>128</v>
      </c>
      <c r="G60" s="7" t="s">
        <v>370</v>
      </c>
    </row>
    <row r="62" customFormat="false" ht="15" hidden="false" customHeight="false" outlineLevel="0" collapsed="false">
      <c r="B62" s="11" t="s">
        <v>206</v>
      </c>
      <c r="C62" s="12"/>
      <c r="D62" s="12"/>
      <c r="E62" s="12"/>
      <c r="F62" s="12"/>
      <c r="G62" s="12"/>
    </row>
    <row r="63" customFormat="false" ht="15" hidden="false" customHeight="false" outlineLevel="0" collapsed="false">
      <c r="B63" s="3" t="s">
        <v>184</v>
      </c>
      <c r="C63" s="3"/>
      <c r="D63" s="3" t="s">
        <v>410</v>
      </c>
      <c r="E63" s="3" t="s">
        <v>411</v>
      </c>
      <c r="F63" s="3" t="s">
        <v>104</v>
      </c>
      <c r="G63" s="3" t="s">
        <v>368</v>
      </c>
    </row>
    <row r="64" customFormat="false" ht="15" hidden="false" customHeight="false" outlineLevel="0" collapsed="false">
      <c r="B64" s="13" t="s">
        <v>207</v>
      </c>
      <c r="D64" s="21" t="n">
        <v>1100</v>
      </c>
      <c r="E64" s="21" t="n">
        <v>974.7</v>
      </c>
      <c r="F64" s="13" t="s">
        <v>128</v>
      </c>
      <c r="G64" s="5" t="s">
        <v>412</v>
      </c>
    </row>
    <row r="65" customFormat="false" ht="15" hidden="false" customHeight="false" outlineLevel="0" collapsed="false">
      <c r="B65" s="13" t="s">
        <v>208</v>
      </c>
      <c r="D65" s="21" t="n">
        <v>19.6</v>
      </c>
      <c r="E65" s="21" t="n">
        <v>177.3</v>
      </c>
      <c r="F65" s="13" t="s">
        <v>128</v>
      </c>
      <c r="G65" s="5" t="s">
        <v>370</v>
      </c>
    </row>
    <row r="66" customFormat="false" ht="15" hidden="false" customHeight="false" outlineLevel="0" collapsed="false">
      <c r="B66" s="13" t="s">
        <v>209</v>
      </c>
      <c r="D66" s="21" t="n">
        <v>239.3</v>
      </c>
      <c r="E66" s="21" t="n">
        <v>237.1</v>
      </c>
      <c r="F66" s="13" t="s">
        <v>128</v>
      </c>
      <c r="G66" s="5" t="s">
        <v>370</v>
      </c>
    </row>
    <row r="67" customFormat="false" ht="15" hidden="false" customHeight="false" outlineLevel="0" collapsed="false">
      <c r="B67" s="13" t="s">
        <v>210</v>
      </c>
      <c r="D67" s="21" t="n">
        <v>860.7</v>
      </c>
      <c r="E67" s="21" t="n">
        <v>826.2</v>
      </c>
      <c r="F67" s="13" t="s">
        <v>128</v>
      </c>
      <c r="G67" s="5" t="s">
        <v>370</v>
      </c>
    </row>
    <row r="68" customFormat="false" ht="15" hidden="false" customHeight="false" outlineLevel="0" collapsed="false">
      <c r="B68" s="13" t="s">
        <v>413</v>
      </c>
      <c r="D68" s="21" t="n">
        <f aca="false">277.3+133.8+98.5+176.4</f>
        <v>686</v>
      </c>
      <c r="E68" s="21" t="n">
        <f aca="false">269.3+155.2+242.5+0</f>
        <v>667</v>
      </c>
      <c r="F68" s="13" t="s">
        <v>128</v>
      </c>
      <c r="G68" s="5" t="s">
        <v>414</v>
      </c>
    </row>
    <row r="69" customFormat="false" ht="15" hidden="false" customHeight="false" outlineLevel="0" collapsed="false">
      <c r="B69" s="13" t="s">
        <v>415</v>
      </c>
      <c r="D69" s="21" t="n">
        <v>489.5</v>
      </c>
      <c r="E69" s="21" t="n">
        <v>502.1</v>
      </c>
      <c r="F69" s="13" t="s">
        <v>128</v>
      </c>
      <c r="G69" s="5" t="s">
        <v>370</v>
      </c>
    </row>
    <row r="70" customFormat="false" ht="15" hidden="false" customHeight="false" outlineLevel="0" collapsed="false">
      <c r="B70" s="13" t="s">
        <v>213</v>
      </c>
      <c r="D70" s="21" t="n">
        <v>1331</v>
      </c>
      <c r="E70" s="21" t="n">
        <v>1417.2</v>
      </c>
      <c r="F70" s="13" t="s">
        <v>128</v>
      </c>
      <c r="G70" s="5" t="s">
        <v>370</v>
      </c>
    </row>
    <row r="71" customFormat="false" ht="15" hidden="false" customHeight="false" outlineLevel="0" collapsed="false">
      <c r="B71" s="13" t="s">
        <v>416</v>
      </c>
      <c r="D71" s="21" t="n">
        <v>983.3</v>
      </c>
      <c r="E71" s="21" t="n">
        <v>957.7</v>
      </c>
      <c r="F71" s="13" t="s">
        <v>128</v>
      </c>
      <c r="G71" s="5" t="s">
        <v>370</v>
      </c>
    </row>
    <row r="72" customFormat="false" ht="15" hidden="false" customHeight="false" outlineLevel="0" collapsed="false">
      <c r="B72" s="13" t="s">
        <v>417</v>
      </c>
      <c r="D72" s="21" t="n">
        <v>719.6</v>
      </c>
      <c r="E72" s="21" t="n">
        <v>716.5</v>
      </c>
      <c r="F72" s="13" t="s">
        <v>128</v>
      </c>
      <c r="G72" s="5" t="s">
        <v>370</v>
      </c>
    </row>
    <row r="73" customFormat="false" ht="15" hidden="false" customHeight="false" outlineLevel="0" collapsed="false">
      <c r="B73" s="13" t="s">
        <v>418</v>
      </c>
      <c r="D73" s="21" t="n">
        <f aca="false">33.8+117.7</f>
        <v>151.5</v>
      </c>
      <c r="E73" s="21" t="n">
        <f aca="false">35.7+180.2</f>
        <v>215.9</v>
      </c>
      <c r="F73" s="13" t="s">
        <v>128</v>
      </c>
      <c r="G73" s="5" t="s">
        <v>370</v>
      </c>
    </row>
    <row r="74" customFormat="false" ht="15" hidden="false" customHeight="false" outlineLevel="0" collapsed="false">
      <c r="B74" s="15" t="s">
        <v>216</v>
      </c>
      <c r="D74" s="21" t="n">
        <f aca="false">SUM(D64:D73)</f>
        <v>6580.5</v>
      </c>
      <c r="E74" s="21" t="n">
        <f aca="false">SUM(E64:E73)</f>
        <v>6691.7</v>
      </c>
      <c r="F74" s="13" t="s">
        <v>128</v>
      </c>
      <c r="G74" s="5" t="s">
        <v>419</v>
      </c>
    </row>
    <row r="75" customFormat="false" ht="15" hidden="false" customHeight="false" outlineLevel="0" collapsed="false">
      <c r="B75" s="13" t="s">
        <v>217</v>
      </c>
      <c r="D75" s="21" t="n">
        <v>456.1</v>
      </c>
      <c r="E75" s="21" t="n">
        <v>582.3</v>
      </c>
      <c r="F75" s="13" t="s">
        <v>128</v>
      </c>
      <c r="G75" s="5" t="s">
        <v>370</v>
      </c>
    </row>
    <row r="76" customFormat="false" ht="15" hidden="false" customHeight="false" outlineLevel="0" collapsed="false">
      <c r="B76" s="13" t="s">
        <v>138</v>
      </c>
      <c r="D76" s="21" t="n">
        <v>736.9</v>
      </c>
      <c r="E76" s="21" t="n">
        <v>754.9</v>
      </c>
      <c r="F76" s="13" t="s">
        <v>128</v>
      </c>
      <c r="G76" s="5" t="s">
        <v>370</v>
      </c>
    </row>
    <row r="77" customFormat="false" ht="15" hidden="false" customHeight="false" outlineLevel="0" collapsed="false">
      <c r="B77" s="13" t="s">
        <v>420</v>
      </c>
      <c r="D77" s="21" t="n">
        <v>299</v>
      </c>
      <c r="E77" s="21" t="n">
        <v>307.8</v>
      </c>
      <c r="F77" s="13" t="s">
        <v>128</v>
      </c>
      <c r="G77" s="5" t="s">
        <v>370</v>
      </c>
    </row>
    <row r="78" customFormat="false" ht="15" hidden="false" customHeight="false" outlineLevel="0" collapsed="false">
      <c r="B78" s="13" t="s">
        <v>421</v>
      </c>
      <c r="D78" s="21" t="n">
        <f aca="false">16.7+48.2</f>
        <v>64.9</v>
      </c>
      <c r="E78" s="21" t="n">
        <v>0</v>
      </c>
      <c r="F78" s="13" t="s">
        <v>128</v>
      </c>
      <c r="G78" s="5" t="s">
        <v>370</v>
      </c>
    </row>
    <row r="79" customFormat="false" ht="15" hidden="false" customHeight="false" outlineLevel="0" collapsed="false">
      <c r="B79" s="13" t="s">
        <v>422</v>
      </c>
      <c r="D79" s="21" t="n">
        <v>2377.9</v>
      </c>
      <c r="E79" s="21" t="n">
        <v>2379</v>
      </c>
      <c r="F79" s="13" t="s">
        <v>128</v>
      </c>
      <c r="G79" s="5" t="s">
        <v>370</v>
      </c>
    </row>
    <row r="80" customFormat="false" ht="15" hidden="false" customHeight="false" outlineLevel="0" collapsed="false">
      <c r="B80" s="13" t="s">
        <v>423</v>
      </c>
      <c r="D80" s="21" t="n">
        <v>1205.6</v>
      </c>
      <c r="E80" s="21" t="n">
        <v>1266.2</v>
      </c>
      <c r="F80" s="13" t="s">
        <v>128</v>
      </c>
      <c r="G80" s="5" t="s">
        <v>370</v>
      </c>
    </row>
    <row r="81" customFormat="false" ht="15" hidden="false" customHeight="false" outlineLevel="0" collapsed="false">
      <c r="B81" s="13" t="s">
        <v>424</v>
      </c>
      <c r="D81" s="21" t="n">
        <f aca="false">79.8+502.5</f>
        <v>582.3</v>
      </c>
      <c r="E81" s="21" t="n">
        <f aca="false">172.8+536.6</f>
        <v>709.4</v>
      </c>
      <c r="F81" s="13" t="s">
        <v>128</v>
      </c>
      <c r="G81" s="5" t="s">
        <v>370</v>
      </c>
    </row>
    <row r="82" customFormat="false" ht="15" hidden="false" customHeight="false" outlineLevel="0" collapsed="false">
      <c r="B82" s="15" t="s">
        <v>222</v>
      </c>
      <c r="D82" s="21" t="n">
        <f aca="false">SUM(D75:D81)</f>
        <v>5722.7</v>
      </c>
      <c r="E82" s="21" t="n">
        <f aca="false">SUM(E75:E81)</f>
        <v>5999.6</v>
      </c>
      <c r="F82" s="13" t="s">
        <v>128</v>
      </c>
      <c r="G82" s="5" t="s">
        <v>425</v>
      </c>
    </row>
    <row r="83" customFormat="false" ht="15" hidden="false" customHeight="false" outlineLevel="0" collapsed="false">
      <c r="B83" s="13" t="s">
        <v>223</v>
      </c>
      <c r="D83" s="21" t="n">
        <v>857.8</v>
      </c>
      <c r="E83" s="21" t="n">
        <v>692.1</v>
      </c>
      <c r="F83" s="13" t="s">
        <v>128</v>
      </c>
      <c r="G83" s="5" t="s">
        <v>370</v>
      </c>
    </row>
    <row r="84" customFormat="false" ht="15" hidden="false" customHeight="false" outlineLevel="0" collapsed="false">
      <c r="B84" s="22" t="s">
        <v>224</v>
      </c>
      <c r="C84" s="24"/>
      <c r="D84" s="31" t="n">
        <f aca="false">D74-D82-D83</f>
        <v>0</v>
      </c>
      <c r="E84" s="31" t="n">
        <f aca="false">E74-E82-E83</f>
        <v>0</v>
      </c>
      <c r="F84" s="22" t="s">
        <v>128</v>
      </c>
      <c r="G84" s="7" t="s">
        <v>426</v>
      </c>
    </row>
    <row r="86" customFormat="false" ht="15" hidden="false" customHeight="false" outlineLevel="0" collapsed="false">
      <c r="B86" s="11" t="s">
        <v>427</v>
      </c>
      <c r="C86" s="12"/>
      <c r="D86" s="12"/>
      <c r="E86" s="12"/>
      <c r="F86" s="12"/>
      <c r="G86" s="12"/>
    </row>
    <row r="87" customFormat="false" ht="15" hidden="false" customHeight="false" outlineLevel="0" collapsed="false">
      <c r="B87" s="3" t="s">
        <v>184</v>
      </c>
      <c r="C87" s="3" t="s">
        <v>365</v>
      </c>
      <c r="D87" s="3" t="s">
        <v>366</v>
      </c>
      <c r="E87" s="3" t="s">
        <v>367</v>
      </c>
      <c r="F87" s="3" t="s">
        <v>104</v>
      </c>
      <c r="G87" s="3" t="s">
        <v>368</v>
      </c>
    </row>
    <row r="88" customFormat="false" ht="15" hidden="false" customHeight="false" outlineLevel="0" collapsed="false">
      <c r="B88" s="13" t="s">
        <v>428</v>
      </c>
      <c r="C88" s="21" t="n">
        <v>1255.6</v>
      </c>
      <c r="D88" s="21" t="n">
        <v>1216.6</v>
      </c>
      <c r="E88" s="21" t="n">
        <v>1978.5</v>
      </c>
      <c r="F88" s="13" t="s">
        <v>128</v>
      </c>
      <c r="G88" s="5" t="s">
        <v>429</v>
      </c>
    </row>
    <row r="89" customFormat="false" ht="15" hidden="false" customHeight="false" outlineLevel="0" collapsed="false">
      <c r="B89" s="13" t="s">
        <v>430</v>
      </c>
      <c r="C89" s="21" t="n">
        <v>-108.9</v>
      </c>
      <c r="D89" s="21" t="n">
        <v>-122.7</v>
      </c>
      <c r="E89" s="21" t="n">
        <v>-166</v>
      </c>
      <c r="F89" s="13" t="s">
        <v>128</v>
      </c>
      <c r="G89" s="5" t="s">
        <v>370</v>
      </c>
    </row>
    <row r="90" customFormat="false" ht="15" hidden="false" customHeight="false" outlineLevel="0" collapsed="false">
      <c r="B90" s="13" t="s">
        <v>431</v>
      </c>
      <c r="C90" s="21" t="n">
        <v>174</v>
      </c>
      <c r="D90" s="21" t="n">
        <v>162.9</v>
      </c>
      <c r="E90" s="21" t="n">
        <v>160.8</v>
      </c>
      <c r="F90" s="13" t="s">
        <v>128</v>
      </c>
      <c r="G90" s="5" t="s">
        <v>370</v>
      </c>
    </row>
    <row r="91" customFormat="false" ht="15" hidden="false" customHeight="false" outlineLevel="0" collapsed="false">
      <c r="B91" s="13" t="s">
        <v>432</v>
      </c>
      <c r="C91" s="21" t="n">
        <v>55</v>
      </c>
      <c r="D91" s="21" t="n">
        <v>62</v>
      </c>
      <c r="E91" s="21" t="n">
        <v>56.4</v>
      </c>
      <c r="F91" s="13" t="s">
        <v>128</v>
      </c>
      <c r="G91" s="5" t="s">
        <v>370</v>
      </c>
    </row>
    <row r="92" customFormat="false" ht="15" hidden="false" customHeight="false" outlineLevel="0" collapsed="false">
      <c r="B92" s="13" t="s">
        <v>433</v>
      </c>
      <c r="C92" s="21" t="n">
        <v>85.9</v>
      </c>
      <c r="D92" s="21" t="n">
        <v>87.3</v>
      </c>
      <c r="E92" s="21" t="n">
        <v>104.5</v>
      </c>
      <c r="F92" s="13" t="s">
        <v>128</v>
      </c>
      <c r="G92" s="5" t="s">
        <v>370</v>
      </c>
    </row>
    <row r="93" customFormat="false" ht="15" hidden="false" customHeight="false" outlineLevel="0" collapsed="false">
      <c r="B93" s="13" t="s">
        <v>434</v>
      </c>
      <c r="C93" s="21" t="n">
        <v>-321.4</v>
      </c>
      <c r="D93" s="21" t="n">
        <v>-299.3</v>
      </c>
      <c r="E93" s="21" t="n">
        <v>-326.1</v>
      </c>
      <c r="F93" s="13" t="s">
        <v>128</v>
      </c>
      <c r="G93" s="5" t="s">
        <v>370</v>
      </c>
    </row>
    <row r="94" customFormat="false" ht="15" hidden="false" customHeight="false" outlineLevel="0" collapsed="false">
      <c r="B94" s="22" t="s">
        <v>234</v>
      </c>
      <c r="C94" s="31" t="n">
        <v>0</v>
      </c>
      <c r="D94" s="31" t="n">
        <v>-1718.7</v>
      </c>
      <c r="E94" s="31" t="n">
        <v>-1554.6</v>
      </c>
      <c r="F94" s="22" t="s">
        <v>128</v>
      </c>
      <c r="G94" s="7" t="s">
        <v>370</v>
      </c>
    </row>
    <row r="96" customFormat="false" ht="15" hidden="false" customHeight="false" outlineLevel="0" collapsed="false">
      <c r="B96" s="11" t="s">
        <v>435</v>
      </c>
      <c r="C96" s="12"/>
      <c r="D96" s="12"/>
      <c r="E96" s="12"/>
      <c r="F96" s="12"/>
      <c r="G96" s="12"/>
    </row>
    <row r="97" customFormat="false" ht="15" hidden="false" customHeight="false" outlineLevel="0" collapsed="false">
      <c r="B97" s="3" t="s">
        <v>69</v>
      </c>
      <c r="C97" s="3" t="s">
        <v>436</v>
      </c>
      <c r="D97" s="3" t="s">
        <v>437</v>
      </c>
      <c r="E97" s="3" t="s">
        <v>438</v>
      </c>
      <c r="F97" s="3" t="s">
        <v>104</v>
      </c>
      <c r="G97" s="3" t="s">
        <v>368</v>
      </c>
    </row>
    <row r="98" customFormat="false" ht="15" hidden="false" customHeight="false" outlineLevel="0" collapsed="false">
      <c r="B98" s="13" t="s">
        <v>439</v>
      </c>
      <c r="C98" s="27" t="n">
        <v>0.04125</v>
      </c>
      <c r="D98" s="21" t="n">
        <v>396.6</v>
      </c>
      <c r="E98" s="21" t="n">
        <v>394.9</v>
      </c>
      <c r="F98" s="13" t="s">
        <v>128</v>
      </c>
      <c r="G98" s="5" t="s">
        <v>440</v>
      </c>
    </row>
    <row r="99" customFormat="false" ht="15" hidden="false" customHeight="false" outlineLevel="0" collapsed="false">
      <c r="B99" s="13" t="s">
        <v>441</v>
      </c>
      <c r="C99" s="27" t="n">
        <v>0.051</v>
      </c>
      <c r="D99" s="21" t="n">
        <v>750</v>
      </c>
      <c r="E99" s="21" t="n">
        <v>757.4</v>
      </c>
      <c r="F99" s="13" t="s">
        <v>128</v>
      </c>
      <c r="G99" s="5" t="s">
        <v>442</v>
      </c>
    </row>
    <row r="100" customFormat="false" ht="15" hidden="false" customHeight="false" outlineLevel="0" collapsed="false">
      <c r="B100" s="13" t="s">
        <v>443</v>
      </c>
      <c r="C100" s="27" t="n">
        <v>0.0305</v>
      </c>
      <c r="D100" s="21" t="n">
        <v>500</v>
      </c>
      <c r="E100" s="21" t="n">
        <v>454.2</v>
      </c>
      <c r="F100" s="13" t="s">
        <v>128</v>
      </c>
      <c r="G100" s="5" t="s">
        <v>370</v>
      </c>
    </row>
    <row r="101" customFormat="false" ht="15" hidden="false" customHeight="false" outlineLevel="0" collapsed="false">
      <c r="B101" s="22" t="s">
        <v>444</v>
      </c>
      <c r="C101" s="38" t="n">
        <v>0.055</v>
      </c>
      <c r="D101" s="31" t="n">
        <v>750</v>
      </c>
      <c r="E101" s="31" t="n">
        <v>757.7</v>
      </c>
      <c r="F101" s="22" t="s">
        <v>128</v>
      </c>
      <c r="G101" s="7" t="s">
        <v>442</v>
      </c>
    </row>
    <row r="103" customFormat="false" ht="15" hidden="false" customHeight="false" outlineLevel="0" collapsed="false">
      <c r="B103" s="11" t="s">
        <v>445</v>
      </c>
      <c r="C103" s="12"/>
      <c r="D103" s="12"/>
      <c r="E103" s="12"/>
      <c r="F103" s="12"/>
      <c r="G103" s="12"/>
    </row>
    <row r="104" customFormat="false" ht="15" hidden="false" customHeight="false" outlineLevel="0" collapsed="false">
      <c r="B104" s="3" t="s">
        <v>446</v>
      </c>
      <c r="C104" s="3" t="s">
        <v>40</v>
      </c>
      <c r="D104" s="3"/>
      <c r="E104" s="3"/>
      <c r="F104" s="3" t="s">
        <v>104</v>
      </c>
      <c r="G104" s="3" t="s">
        <v>368</v>
      </c>
    </row>
    <row r="105" customFormat="false" ht="15" hidden="false" customHeight="false" outlineLevel="0" collapsed="false">
      <c r="B105" s="13" t="s">
        <v>447</v>
      </c>
      <c r="C105" s="26" t="n">
        <v>199.391678</v>
      </c>
      <c r="F105" s="13" t="s">
        <v>167</v>
      </c>
      <c r="G105" s="5" t="s">
        <v>448</v>
      </c>
    </row>
    <row r="106" customFormat="false" ht="15" hidden="false" customHeight="false" outlineLevel="0" collapsed="false">
      <c r="B106" s="13" t="s">
        <v>449</v>
      </c>
      <c r="C106" s="26" t="n">
        <v>6.2</v>
      </c>
      <c r="F106" s="13" t="s">
        <v>167</v>
      </c>
      <c r="G106" s="5" t="s">
        <v>450</v>
      </c>
    </row>
    <row r="107" customFormat="false" ht="28.35" hidden="false" customHeight="false" outlineLevel="0" collapsed="false">
      <c r="B107" s="13" t="s">
        <v>451</v>
      </c>
      <c r="C107" s="26" t="n">
        <v>11</v>
      </c>
      <c r="F107" s="13" t="s">
        <v>167</v>
      </c>
      <c r="G107" s="5" t="s">
        <v>452</v>
      </c>
    </row>
    <row r="108" customFormat="false" ht="28.35" hidden="false" customHeight="false" outlineLevel="0" collapsed="false">
      <c r="B108" s="13" t="s">
        <v>453</v>
      </c>
      <c r="C108" s="21" t="n">
        <v>973</v>
      </c>
      <c r="F108" s="13" t="s">
        <v>454</v>
      </c>
      <c r="G108" s="5" t="s">
        <v>455</v>
      </c>
    </row>
    <row r="109" customFormat="false" ht="28.35" hidden="false" customHeight="false" outlineLevel="0" collapsed="false">
      <c r="B109" s="13" t="s">
        <v>456</v>
      </c>
      <c r="C109" s="21" t="n">
        <v>326</v>
      </c>
      <c r="F109" s="13" t="s">
        <v>454</v>
      </c>
      <c r="G109" s="5" t="s">
        <v>457</v>
      </c>
    </row>
    <row r="110" customFormat="false" ht="28.35" hidden="false" customHeight="false" outlineLevel="0" collapsed="false">
      <c r="B110" s="22" t="s">
        <v>458</v>
      </c>
      <c r="C110" s="33" t="n">
        <v>11.5</v>
      </c>
      <c r="D110" s="24"/>
      <c r="E110" s="24"/>
      <c r="F110" s="22" t="s">
        <v>167</v>
      </c>
      <c r="G110" s="7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70"/>
  </cols>
  <sheetData>
    <row r="2" customFormat="false" ht="15" hidden="false" customHeight="false" outlineLevel="0" collapsed="false">
      <c r="B2" s="8" t="s">
        <v>18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460</v>
      </c>
    </row>
    <row r="5" customFormat="false" ht="15" hidden="false" customHeight="false" outlineLevel="0" collapsed="false">
      <c r="B5" s="11" t="s">
        <v>461</v>
      </c>
      <c r="C5" s="12"/>
      <c r="D5" s="12"/>
      <c r="E5" s="12"/>
      <c r="F5" s="12"/>
      <c r="G5" s="12"/>
    </row>
    <row r="6" customFormat="false" ht="15" hidden="false" customHeight="false" outlineLevel="0" collapsed="false">
      <c r="B6" s="3" t="s">
        <v>39</v>
      </c>
      <c r="C6" s="3" t="s">
        <v>40</v>
      </c>
      <c r="D6" s="3"/>
      <c r="E6" s="3"/>
      <c r="F6" s="3" t="s">
        <v>104</v>
      </c>
      <c r="G6" s="3" t="s">
        <v>368</v>
      </c>
    </row>
    <row r="7" customFormat="false" ht="15" hidden="false" customHeight="false" outlineLevel="0" collapsed="false">
      <c r="B7" s="13" t="s">
        <v>462</v>
      </c>
      <c r="C7" s="14" t="n">
        <v>115.82</v>
      </c>
      <c r="F7" s="13" t="s">
        <v>142</v>
      </c>
      <c r="G7" s="5" t="s">
        <v>463</v>
      </c>
    </row>
    <row r="8" customFormat="false" ht="15" hidden="false" customHeight="false" outlineLevel="0" collapsed="false">
      <c r="B8" s="13" t="s">
        <v>464</v>
      </c>
      <c r="C8" s="14" t="n">
        <v>164.8</v>
      </c>
      <c r="F8" s="13" t="s">
        <v>142</v>
      </c>
      <c r="G8" s="5" t="s">
        <v>465</v>
      </c>
    </row>
    <row r="9" customFormat="false" ht="15" hidden="false" customHeight="false" outlineLevel="0" collapsed="false">
      <c r="B9" s="13" t="s">
        <v>466</v>
      </c>
      <c r="C9" s="14" t="n">
        <v>93</v>
      </c>
      <c r="F9" s="13" t="s">
        <v>142</v>
      </c>
      <c r="G9" s="5" t="s">
        <v>463</v>
      </c>
    </row>
    <row r="10" customFormat="false" ht="15" hidden="false" customHeight="false" outlineLevel="0" collapsed="false">
      <c r="B10" s="13" t="s">
        <v>467</v>
      </c>
      <c r="C10" s="29" t="n">
        <v>1.43</v>
      </c>
      <c r="F10" s="13" t="s">
        <v>174</v>
      </c>
      <c r="G10" s="5" t="s">
        <v>468</v>
      </c>
    </row>
    <row r="11" customFormat="false" ht="15" hidden="false" customHeight="false" outlineLevel="0" collapsed="false">
      <c r="B11" s="13" t="s">
        <v>469</v>
      </c>
      <c r="C11" s="14" t="n">
        <v>166.5</v>
      </c>
      <c r="F11" s="13" t="s">
        <v>142</v>
      </c>
      <c r="G11" s="5" t="s">
        <v>470</v>
      </c>
    </row>
    <row r="12" customFormat="false" ht="15" hidden="false" customHeight="false" outlineLevel="0" collapsed="false">
      <c r="B12" s="13" t="s">
        <v>471</v>
      </c>
      <c r="C12" s="14" t="n">
        <v>138</v>
      </c>
      <c r="F12" s="13" t="s">
        <v>142</v>
      </c>
      <c r="G12" s="5" t="s">
        <v>472</v>
      </c>
    </row>
    <row r="13" customFormat="false" ht="15" hidden="false" customHeight="false" outlineLevel="0" collapsed="false">
      <c r="B13" s="22" t="s">
        <v>473</v>
      </c>
      <c r="C13" s="25" t="n">
        <v>232</v>
      </c>
      <c r="D13" s="24"/>
      <c r="E13" s="24"/>
      <c r="F13" s="22" t="s">
        <v>142</v>
      </c>
      <c r="G13" s="7" t="s">
        <v>472</v>
      </c>
    </row>
    <row r="15" customFormat="false" ht="15" hidden="false" customHeight="false" outlineLevel="0" collapsed="false">
      <c r="B15" s="11" t="s">
        <v>474</v>
      </c>
      <c r="C15" s="12"/>
      <c r="D15" s="12"/>
      <c r="E15" s="12"/>
      <c r="F15" s="12"/>
      <c r="G15" s="12"/>
    </row>
    <row r="16" customFormat="false" ht="15" hidden="false" customHeight="false" outlineLevel="0" collapsed="false">
      <c r="B16" s="3" t="s">
        <v>39</v>
      </c>
      <c r="C16" s="3" t="s">
        <v>67</v>
      </c>
      <c r="D16" s="3" t="s">
        <v>68</v>
      </c>
      <c r="E16" s="3"/>
      <c r="F16" s="3" t="s">
        <v>104</v>
      </c>
      <c r="G16" s="3" t="s">
        <v>368</v>
      </c>
    </row>
    <row r="17" customFormat="false" ht="28.35" hidden="false" customHeight="false" outlineLevel="0" collapsed="false">
      <c r="B17" s="13" t="s">
        <v>475</v>
      </c>
      <c r="C17" s="21" t="n">
        <v>8400</v>
      </c>
      <c r="D17" s="21" t="n">
        <v>8500</v>
      </c>
      <c r="F17" s="13" t="s">
        <v>128</v>
      </c>
      <c r="G17" s="5" t="s">
        <v>476</v>
      </c>
    </row>
    <row r="18" customFormat="false" ht="15" hidden="false" customHeight="false" outlineLevel="0" collapsed="false">
      <c r="B18" s="13" t="s">
        <v>477</v>
      </c>
      <c r="C18" s="14" t="n">
        <v>7.8</v>
      </c>
      <c r="D18" s="14" t="n">
        <v>7.9</v>
      </c>
      <c r="F18" s="13" t="s">
        <v>142</v>
      </c>
      <c r="G18" s="5" t="s">
        <v>384</v>
      </c>
    </row>
    <row r="19" customFormat="false" ht="28.35" hidden="false" customHeight="false" outlineLevel="0" collapsed="false">
      <c r="B19" s="13" t="s">
        <v>478</v>
      </c>
      <c r="C19" s="17" t="n">
        <v>0.005</v>
      </c>
      <c r="D19" s="17" t="n">
        <v>0.005</v>
      </c>
      <c r="F19" s="13" t="s">
        <v>106</v>
      </c>
      <c r="G19" s="5" t="s">
        <v>479</v>
      </c>
    </row>
    <row r="20" customFormat="false" ht="28.35" hidden="false" customHeight="false" outlineLevel="0" collapsed="false">
      <c r="B20" s="13" t="s">
        <v>480</v>
      </c>
      <c r="C20" s="21" t="n">
        <v>1700</v>
      </c>
      <c r="D20" s="21" t="n">
        <v>1700</v>
      </c>
      <c r="F20" s="13" t="s">
        <v>128</v>
      </c>
      <c r="G20" s="5" t="s">
        <v>481</v>
      </c>
    </row>
    <row r="21" customFormat="false" ht="15" hidden="false" customHeight="false" outlineLevel="0" collapsed="false">
      <c r="B21" s="13" t="s">
        <v>482</v>
      </c>
      <c r="C21" s="21" t="n">
        <v>300</v>
      </c>
      <c r="D21" s="21" t="n">
        <v>300</v>
      </c>
      <c r="F21" s="13" t="s">
        <v>128</v>
      </c>
      <c r="G21" s="5" t="s">
        <v>384</v>
      </c>
    </row>
    <row r="22" customFormat="false" ht="15" hidden="false" customHeight="false" outlineLevel="0" collapsed="false">
      <c r="B22" s="13" t="s">
        <v>234</v>
      </c>
      <c r="C22" s="21" t="n">
        <v>1350</v>
      </c>
      <c r="D22" s="21" t="n">
        <v>1350</v>
      </c>
      <c r="F22" s="13" t="s">
        <v>128</v>
      </c>
      <c r="G22" s="5" t="s">
        <v>384</v>
      </c>
    </row>
    <row r="23" customFormat="false" ht="28.35" hidden="false" customHeight="false" outlineLevel="0" collapsed="false">
      <c r="B23" s="22" t="s">
        <v>483</v>
      </c>
      <c r="C23" s="25" t="n">
        <v>1.85</v>
      </c>
      <c r="D23" s="25" t="n">
        <v>1.85</v>
      </c>
      <c r="E23" s="24"/>
      <c r="F23" s="22" t="s">
        <v>142</v>
      </c>
      <c r="G23" s="7" t="s">
        <v>484</v>
      </c>
    </row>
    <row r="25" customFormat="false" ht="15" hidden="false" customHeight="false" outlineLevel="0" collapsed="false">
      <c r="B25" s="11" t="s">
        <v>485</v>
      </c>
      <c r="C25" s="12"/>
      <c r="D25" s="12"/>
      <c r="E25" s="12"/>
      <c r="F25" s="12"/>
      <c r="G25" s="12"/>
    </row>
    <row r="26" customFormat="false" ht="15" hidden="false" customHeight="false" outlineLevel="0" collapsed="false">
      <c r="B26" s="3" t="s">
        <v>39</v>
      </c>
      <c r="C26" s="3" t="s">
        <v>40</v>
      </c>
      <c r="D26" s="3"/>
      <c r="E26" s="3"/>
      <c r="F26" s="3" t="s">
        <v>104</v>
      </c>
      <c r="G26" s="3" t="s">
        <v>368</v>
      </c>
    </row>
    <row r="27" customFormat="false" ht="15" hidden="false" customHeight="false" outlineLevel="0" collapsed="false">
      <c r="B27" s="13" t="s">
        <v>486</v>
      </c>
      <c r="C27" s="27" t="n">
        <v>0.0528</v>
      </c>
      <c r="F27" s="13" t="s">
        <v>106</v>
      </c>
      <c r="G27" s="5" t="s">
        <v>487</v>
      </c>
    </row>
    <row r="28" customFormat="false" ht="15" hidden="false" customHeight="false" outlineLevel="0" collapsed="false">
      <c r="B28" s="13" t="s">
        <v>488</v>
      </c>
      <c r="C28" s="27" t="n">
        <v>0.0438</v>
      </c>
      <c r="F28" s="13" t="s">
        <v>106</v>
      </c>
      <c r="G28" s="5" t="s">
        <v>489</v>
      </c>
    </row>
    <row r="29" customFormat="false" ht="15" hidden="false" customHeight="false" outlineLevel="0" collapsed="false">
      <c r="B29" s="13" t="s">
        <v>490</v>
      </c>
      <c r="C29" s="27" t="n">
        <v>0.0442</v>
      </c>
      <c r="F29" s="13" t="s">
        <v>106</v>
      </c>
      <c r="G29" s="5" t="s">
        <v>489</v>
      </c>
    </row>
    <row r="30" customFormat="false" ht="15" hidden="false" customHeight="false" outlineLevel="0" collapsed="false">
      <c r="B30" s="13" t="s">
        <v>491</v>
      </c>
      <c r="C30" s="27" t="n">
        <v>0.0423</v>
      </c>
      <c r="F30" s="13" t="s">
        <v>106</v>
      </c>
      <c r="G30" s="5" t="s">
        <v>492</v>
      </c>
    </row>
    <row r="31" customFormat="false" ht="15" hidden="false" customHeight="false" outlineLevel="0" collapsed="false">
      <c r="B31" s="22" t="s">
        <v>493</v>
      </c>
      <c r="C31" s="22" t="s">
        <v>494</v>
      </c>
      <c r="D31" s="24"/>
      <c r="E31" s="24"/>
      <c r="F31" s="22"/>
      <c r="G31" s="7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2026-10-08T23:20:55Z</dcterms:created>
  <dc:creator>Deepangi Arora</dc:creator>
  <dc:description/>
  <dc:language>en-US</dc:language>
  <cp:lastModifiedBy>Deepangi Arora</cp:lastModifiedBy>
  <dcterms:modified xsi:type="dcterms:W3CDTF">2026-10-08T23:20:56Z</dcterms:modified>
  <cp:revision>0</cp:revision>
  <dc:subject/>
  <dc:title>Tapestry Valuation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